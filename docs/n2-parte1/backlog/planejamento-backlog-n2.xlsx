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Backlog N2" sheetId="2" state="visible" r:id="rId2"/>
    <sheet xmlns:r="http://schemas.openxmlformats.org/officeDocument/2006/relationships" name="Distribuição" sheetId="3" state="visible" r:id="rId3"/>
    <sheet xmlns:r="http://schemas.openxmlformats.org/officeDocument/2006/relationships" name="Cronograma" sheetId="4" state="visible" r:id="rId4"/>
    <sheet xmlns:r="http://schemas.openxmlformats.org/officeDocument/2006/relationships" name="Rastreabilidade" sheetId="5" state="visible" r:id="rId5"/>
  </sheets>
  <definedNames>
    <definedName name="_xlnm.Print_Titles" localSheetId="1">'Backlog N2'!$1:$4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b val="1"/>
      <color rgb="00FFFFFF"/>
    </font>
    <font>
      <name val="Calibri"/>
      <color rgb="00254D38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54D3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5" fontId="0" fillId="0" borderId="0" pivotButton="0" quotePrefix="0" xfId="0"/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FD8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Esforço estimado por integrante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'Distribuição'!C4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'Distribuição'!$A$5:$A$9</f>
            </numRef>
          </cat>
          <val>
            <numRef>
              <f>'Distribuição'!$C$5:$C$9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82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refasN2" displayName="TarefasN2" ref="A4:O49" headerRowCount="1">
  <autoFilter ref="A4:O49"/>
  <tableColumns count="15">
    <tableColumn id="1" name="ID"/>
    <tableColumn id="2" name="Card de referência"/>
    <tableColumn id="3" name="Tarefa"/>
    <tableColumn id="4" name="Responsável"/>
    <tableColumn id="5" name="Esforço (h)"/>
    <tableColumn id="6" name="Início"/>
    <tableColumn id="7" name="Prazo"/>
    <tableColumn id="8" name="Predecessoras"/>
    <tableColumn id="9" name="Prioridade"/>
    <tableColumn id="10" name="Status"/>
    <tableColumn id="11" name="Entregável / critério de aceite"/>
    <tableColumn id="12" name="Requisitos"/>
    <tableColumn id="13" name="Fase"/>
    <tableColumn id="14" name="Evidência / pendência"/>
    <tableColumn id="15" name="Dependências"/>
  </tableColumns>
  <tableStyleInfo name="TableStyleMedium4" showRowStripes="1"/>
</table>
</file>

<file path=xl/tables/table2.xml><?xml version="1.0" encoding="utf-8"?>
<table xmlns="http://schemas.openxmlformats.org/spreadsheetml/2006/main" id="2" name="EquipeN2" displayName="EquipeN2" ref="A4:E9" headerRowCount="1">
  <autoFilter ref="A4:E9"/>
  <tableColumns count="5">
    <tableColumn id="1" name="Integrante"/>
    <tableColumn id="2" name="Tarefas"/>
    <tableColumn id="3" name="Esforço (h)"/>
    <tableColumn id="4" name="Participação"/>
    <tableColumn id="5" name="Área principal"/>
  </tableColumns>
  <tableStyleInfo name="TableStyleMedium4" showRowStripes="1"/>
</table>
</file>

<file path=xl/tables/table3.xml><?xml version="1.0" encoding="utf-8"?>
<table xmlns="http://schemas.openxmlformats.org/spreadsheetml/2006/main" id="3" name="HorasPorSemana" displayName="HorasPorSemana" ref="A4:H9" headerRowCount="1">
  <autoFilter ref="A4:H9"/>
  <tableColumns count="8">
    <tableColumn id="1" name="Integrante"/>
    <tableColumn id="2" name="Semana 1"/>
    <tableColumn id="3" name="Semana 2"/>
    <tableColumn id="4" name="Semana 3"/>
    <tableColumn id="5" name="Semana 4"/>
    <tableColumn id="6" name="Semana 5"/>
    <tableColumn id="7" name="Semana 6"/>
    <tableColumn id="8" name="Total"/>
  </tableColumns>
  <tableStyleInfo name="TableStyleMedium4" showRowStripes="1"/>
</table>
</file>

<file path=xl/tables/table4.xml><?xml version="1.0" encoding="utf-8"?>
<table xmlns="http://schemas.openxmlformats.org/spreadsheetml/2006/main" id="4" name="MapaArtefatos" displayName="MapaArtefatos" ref="A4:E9" headerRowCount="1">
  <autoFilter ref="A4:E9"/>
  <tableColumns count="5">
    <tableColumn id="1" name="Artefato"/>
    <tableColumn id="2" name="Cenário / requisitos"/>
    <tableColumn id="3" name="Responsável pela revisão"/>
    <tableColumn id="4" name="Tarefas relacionadas"/>
    <tableColumn id="5" name="Arquivo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../01-caso-de-uso.md" TargetMode="External" Id="rId1"/><Relationship Type="http://schemas.openxmlformats.org/officeDocument/2006/relationships/hyperlink" Target="../02-atividade.md" TargetMode="External" Id="rId2"/><Relationship Type="http://schemas.openxmlformats.org/officeDocument/2006/relationships/hyperlink" Target="../03-classe.md" TargetMode="External" Id="rId3"/><Relationship Type="http://schemas.openxmlformats.org/officeDocument/2006/relationships/hyperlink" Target="../04-sequencia.md" TargetMode="External" Id="rId4"/><Relationship Type="http://schemas.openxmlformats.org/officeDocument/2006/relationships/hyperlink" Target="../../infra/VALIDACAO_LOCAL.md" TargetMode="External" Id="rId5"/><Relationship Type="http://schemas.openxmlformats.org/officeDocument/2006/relationships/table" Target="/xl/tables/table4.xml" Id="rId6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D20"/>
  <ns0:sheetViews>
    <ns0:sheetView showGridLines="0" workbookViewId="0">
      <ns0:pane xSplit="1" ySplit="3" topLeftCell="B4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24" customWidth="1" min="1" max="1"/>
    <ns0:col width="38" customWidth="1" min="2" max="2"/>
    <ns0:col width="38" customWidth="1" min="3" max="3"/>
    <ns0:col width="38" customWidth="1" min="4" max="4"/>
  </ns0:cols>
  <ns0:sheetData>
    <ns0:row r="1" ht="33" customHeight="1">
      <ns0:c r="A1" s="1" t="inlineStr">
        <ns0:is>
          <ns0:t>N2 — planejamento do backlog</ns0:t>
        </ns0:is>
      </ns0:c>
    </ns0:row>
    <ns0:row r="3" ht="31" customHeight="1">
      <ns0:c r="A3" s="2" t="inlineStr">
        <ns0:is>
          <ns0:t>Campo</ns0:t>
        </ns0:is>
      </ns0:c>
      <ns0:c r="B3" s="2" t="inlineStr">
        <ns0:is>
          <ns0:t>Conteúdo</ns0:t>
        </ns0:is>
      </ns0:c>
      <ns0:c r="C3" s="2" t="inlineStr">
        <ns0:is>
          <ns0:t>Observação</ns0:t>
        </ns0:is>
      </ns0:c>
      <ns0:c r="D3" s="2" t="inlineStr"/>
    </ns0:row>
    <ns0:row r="4" ht="48" customHeight="1">
      <ns0:c r="A4" s="3" t="inlineStr">
        <ns0:is>
          <ns0:t>Objetivo</ns0:t>
        </ns0:is>
      </ns0:c>
      <ns0:c r="B4" s="3" t="inlineStr">
        <ns0:is>
          <ns0:t>Planejar tarefas específicas da N2 e entregar quatro diagramas UML com criação passo a passo.</ns0:t>
        </ns0:is>
      </ns0:c>
      <ns0:c r="C4" s="3" t="n"/>
      <ns0:c r="D4" s="3" t="n"/>
    </ns0:row>
    <ns0:row r="5" ht="48" customHeight="1">
      <ns0:c r="A5" s="3" t="inlineStr">
        <ns0:is>
          <ns0:t>Situação</ns0:t>
        </ns0:is>
      </ns0:c>
      <ns0:c r="B5" s="3" t="inlineStr">
        <ns0:is>
          <ns0:t>Rascunho de planejamento. Datas e esforços devem ser aprovados pelo grupo; nenhuma tarefa está declarada concluída.</ns0:t>
        </ns0:is>
      </ns0:c>
      <ns0:c r="C5" s="3" t="n"/>
      <ns0:c r="D5" s="3" t="n"/>
    </ns0:row>
    <ns0:row r="6" ht="48" customHeight="1">
      <ns0:c r="A6" s="3" t="inlineStr">
        <ns0:is>
          <ns0:t>Data-base</ns0:t>
        </ns0:is>
      </ns0:c>
      <ns0:c r="B6" s="4" t="n">
        <ns0:v>46300</ns0:v>
      </ns0:c>
      <ns0:c r="C6" s="3" t="n"/>
      <ns0:c r="D6" s="3" t="n"/>
    </ns0:row>
    <ns0:row r="7" ht="48" customHeight="1">
      <ns0:c r="A7" s="3" t="inlineStr">
        <ns0:is>
          <ns0:t>Prazo provisório</ns0:t>
        </ns0:is>
      </ns0:c>
      <ns0:c r="B7" s="4" t="n">
        <ns0:v>46339</ns0:v>
      </ns0:c>
      <ns0:c r="C7" s="3" t="n"/>
      <ns0:c r="D7" s="3" t="n"/>
    </ns0:row>
    <ns0:row r="8" ht="48" customHeight="1">
      <ns0:c r="A8" s="3" t="inlineStr">
        <ns0:is>
          <ns0:t>Premissa de prazo</ns0:t>
        </ns0:is>
      </ns0:c>
      <ns0:c r="B8" s="3" t="inlineStr">
        <ns0:is>
          <ns0:t>Sem data acadêmica informada. Seis semanas, de 05/10/2026 a 13/11/2026; ajustar ao calendário da disciplina.</ns0:t>
        </ns0:is>
      </ns0:c>
      <ns0:c r="C8" s="3" t="n"/>
      <ns0:c r="D8" s="3" t="n"/>
    </ns0:row>
    <ns0:row r="9" ht="48" customHeight="1">
      <ns0:c r="A9" s="3" t="inlineStr">
        <ns0:is>
          <ns0:t>Calendário</ns0:t>
        </ns0:is>
      </ns0:c>
      <ns0:c r="B9" s="3" t="inlineStr">
        <ns0:is>
          <ns0:t>Segunda a sexta; 12/10 e 02/11 fora do cronograma. Feriados locais e calendário acadêmico a confirmar.</ns0:t>
        </ns0:is>
      </ns0:c>
      <ns0:c r="C9" s="3" t="n"/>
      <ns0:c r="D9" s="3" t="n"/>
    </ns0:row>
    <ns0:row r="10" ht="48" customHeight="1">
      <ns0:c r="A10" s="3" t="inlineStr">
        <ns0:is>
          <ns0:t>Disponibilidade</ns0:t>
        </ns0:is>
      </ns0:c>
      <ns0:c r="B10" s="3" t="inlineStr">
        <ns0:is>
          <ns0:t>Limite provisório de 4 horas em um dia alocado por integrante. Esforço total: 184 h; 36–38 h por pessoa nas seis semanas.</ns0:t>
        </ns0:is>
      </ns0:c>
      <ns0:c r="C10" s="3" t="n"/>
      <ns0:c r="D10" s="3" t="n"/>
    </ns0:row>
    <ns0:row r="11" ht="48" customHeight="1">
      <ns0:c r="A11" s="3" t="inlineStr">
        <ns0:is>
          <ns0:t>Estimativa</ns0:t>
        </ns0:is>
      </ns0:c>
      <ns0:c r="B11" s="3" t="inlineStr">
        <ns0:is>
          <ns0:t>Horas para revisar/integrar entregas e PRs existentes, corrigir lacunas e validar. Se for necessário reescrever, reestimar.</ns0:t>
        </ns0:is>
      </ns0:c>
      <ns0:c r="C11" s="3" t="n"/>
      <ns0:c r="D11" s="3" t="n"/>
    </ns0:row>
    <ns0:row r="12" ht="48" customHeight="1">
      <ns0:c r="A12" s="3" t="inlineStr">
        <ns0:is>
          <ns0:t>Fontes</ns0:t>
        </ns0:is>
      </ns0:c>
      <ns0:c r="B12" s="3" t="inlineStr">
        <ns0:is>
          <ns0:t>README.md, PROJECT_BACKLOG.md, fluxos-de-usuario.md, schema/DER/UML locais, VALIDACAO_LOCAL.md e auditoria GitHub local de 05/10/2026.</ns0:t>
        </ns0:is>
      </ns0:c>
      <ns0:c r="C12" s="3" t="n"/>
      <ns0:c r="D12" s="3" t="n"/>
    </ns0:row>
    <ns0:row r="13" ht="48" customHeight="1">
      <ns0:c r="A13" s="3" t="inlineStr">
        <ns0:is>
          <ns0:t>Material da aula</ns0:t>
        </ns0:is>
      </ns0:c>
      <ns0:c r="B13" s="3" t="inlineStr">
        <ns0:is>
          <ns0:t>Exemplo N2 Parte 1 / Exemplo Atividade.md não estava disponível. Conferência com esse modelo permanece pendente.</ns0:t>
        </ns0:is>
      </ns0:c>
      <ns0:c r="C13" s="3" t="n"/>
      <ns0:c r="D13" s="3" t="n"/>
    </ns0:row>
    <ns0:row r="14" ht="48" customHeight="1">
      <ns0:c r="A14" s="3" t="inlineStr">
        <ns0:is>
          <ns0:t>Estado de PRs</ns0:t>
        </ns0:is>
      </ns0:c>
      <ns0:c r="B14" s="3" t="inlineStr">
        <ns0:is>
          <ns0:t>Referências dos PRs vêm da auditoria local; confirmar estado real no GitHub antes de integrar ou marcar concluído.</ns0:t>
        </ns0:is>
      </ns0:c>
      <ns0:c r="C14" s="3" t="n"/>
      <ns0:c r="D14" s="3" t="n"/>
    </ns0:row>
    <ns0:row r="15" ht="48" customHeight="1">
      <ns0:c r="A15" s="3" t="inlineStr">
        <ns0:is>
          <ns0:t>Escopo local</ns0:t>
        </ns0:is>
      </ns0:c>
      <ns0:c r="B15" s="3" t="inlineStr">
        <ns0:is>
          <ns0:t>Nenhum push, PR, merge, publicação, provisionamento ou entrega acadêmica feito pela geração desta planilha.</ns0:t>
        </ns0:is>
      </ns0:c>
      <ns0:c r="C15" s="3" t="n"/>
      <ns0:c r="D15" s="3" t="n"/>
    </ns0:row>
    <ns0:row r="16" ht="48" customHeight="1">
      <ns0:c r="A16" s="3" t="inlineStr">
        <ns0:is>
          <ns0:t>Como editar</ns0:t>
        </ns0:is>
      </ns0:c>
      <ns0:c r="B16" s="3" t="inlineStr">
        <ns0:is>
          <ns0:t>Filtre por responsável e ajuste esforço/datas/status. Resumo e validação de dependências recalculam em Excel; o cronograma de horas é a fotografia da alocação original e deve ser revisto após alterar tarefas.</ns0:t>
        </ns0:is>
      </ns0:c>
      <ns0:c r="C16" s="3" t="n"/>
      <ns0:c r="D16" s="3" t="n"/>
    </ns0:row>
    <ns0:row r="17" ht="48" customHeight="1">
      <ns0:c r="A17" s="3" t="inlineStr">
        <ns0:is>
          <ns0:t>Dependências</ns0:t>
        </ns0:is>
      </ns0:c>
      <ns0:c r="B17" s="3" t="inlineStr">
        <ns0:is>
          <ns0:t>Uma tarefa só começa após o prazo das predecessoras. Coluna O confere IDs e datas. Datas de início/prazo são valores de data Excel.</ns0:t>
        </ns0:is>
      </ns0:c>
      <ns0:c r="C17" s="3" t="n"/>
      <ns0:c r="D17" s="3" t="n"/>
    </ns0:row>
    <ns0:row r="18" ht="48" customHeight="1">
      <ns0:c r="A18" s="3" t="inlineStr">
        <ns0:is>
          <ns0:t>Critério de conclusão</ns0:t>
        </ns0:is>
      </ns0:c>
      <ns0:c r="B18" s="3" t="inlineStr">
        <ns0:is>
          <ns0:t>Status Concluída com evidência exige artefato, teste/revisão e aceite; configuração de variável ou PR aberto não comprova persistência real.</ns0:t>
        </ns0:is>
      </ns0:c>
      <ns0:c r="C18" s="3" t="n"/>
      <ns0:c r="D18" s="3" t="n"/>
    </ns0:row>
    <ns0:row r="19" ht="48" customHeight="1">
      <ns0:c r="A19" s="3" t="inlineStr">
        <ns0:is>
          <ns0:t>Diagramas</ns0:t>
        </ns0:is>
      </ns0:c>
      <ns0:c r="B19" s="3" t="inlineStr">
        <ns0:is>
          <ns0:t>Abrir ../README.md para passo a passo e SVGs. Fontes PlantUML e desenhos SVG são fornecidos; a composição SVG é local, sem renderização remota.</ns0:t>
        </ns0:is>
      </ns0:c>
      <ns0:c r="C19" s="3" t="n"/>
      <ns0:c r="D19" s="3" t="n"/>
    </ns0:row>
    <ns0:row r="20" ht="48" customHeight="1">
      <ns0:c r="A20" s="3" t="inlineStr">
        <ns0:is>
          <ns0:t>Margem final</ns0:t>
        </ns0:is>
      </ns0:c>
      <ns0:c r="B20" s="3" t="inlineStr">
        <ns0:is>
          <ns0:t>D09 reservado para 13/11/2026; intervalos livres antes dele são margem para correções e revisão, não tarefas omitidas.</ns0:t>
        </ns0:is>
      </ns0:c>
      <ns0:c r="C20" s="3" t="n"/>
      <ns0:c r="D20" s="3" t="n"/>
    </ns0:row>
  </ns0:sheetData>
  <ns0:mergeCells count="18">
    <ns0:mergeCell ref="B10:D10"/>
    <ns0:mergeCell ref="A1:D1"/>
    <ns0:mergeCell ref="B11:D11"/>
    <ns0:mergeCell ref="B5:D5"/>
    <ns0:mergeCell ref="B14:D14"/>
    <ns0:mergeCell ref="B15:D15"/>
    <ns0:mergeCell ref="B19:D19"/>
    <ns0:mergeCell ref="B8:D8"/>
    <ns0:mergeCell ref="B4:D4"/>
    <ns0:mergeCell ref="B17:D17"/>
    <ns0:mergeCell ref="B9:D9"/>
    <ns0:mergeCell ref="B13:D13"/>
    <ns0:mergeCell ref="B18:D18"/>
    <ns0:mergeCell ref="B12:D12"/>
    <ns0:mergeCell ref="B7:D7"/>
    <ns0:mergeCell ref="B6:D6"/>
    <ns0:mergeCell ref="B16:D16"/>
    <ns0:mergeCell ref="B20:D20"/>
  </ns0:mergeCells>
  <ns0:pageMargins left="0.75" right="0.75" top="1" bottom="1" header="0.5" footer="0.5"/>
  <ns0:pageSetup orientation="landscape" paperSize="8" fitToHeight="0" fitToWidth="1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O49"/>
  <ns0:sheetViews>
    <ns0:sheetView showGridLines="0" workbookViewId="0">
      <ns0:pane xSplit="4" ySplit="4" topLeftCell="E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0" customWidth="1" min="1" max="1"/>
    <ns0:col width="27" customWidth="1" min="2" max="2"/>
    <ns0:col width="55" customWidth="1" min="3" max="3"/>
    <ns0:col width="36" customWidth="1" min="4" max="4"/>
    <ns0:col width="12" customWidth="1" min="5" max="5"/>
    <ns0:col width="13" customWidth="1" min="6" max="6"/>
    <ns0:col width="13" customWidth="1" min="7" max="7"/>
    <ns0:col width="18" customWidth="1" min="8" max="8"/>
    <ns0:col width="12" customWidth="1" min="9" max="9"/>
    <ns0:col width="31" customWidth="1" min="10" max="10"/>
    <ns0:col width="76" customWidth="1" min="11" max="11"/>
    <ns0:col width="28" customWidth="1" min="12" max="12"/>
    <ns0:col width="24" customWidth="1" min="13" max="13"/>
    <ns0:col width="85" customWidth="1" min="14" max="14"/>
    <ns0:col width="20" customWidth="1" min="15" max="15"/>
  </ns0:cols>
  <ns0:sheetData>
    <ns0:row r="1" ht="33" customHeight="1">
      <ns0:c r="A1" s="1" t="inlineStr">
        <ns0:is>
          <ns0:t>Backlog N2 — tarefas, responsáveis e prazos</ns0:t>
        </ns0:is>
      </ns0:c>
    </ns0:row>
    <ns0:row r="2">
      <ns0:c r="A2" t="inlineStr">
        <ns0:is>
          <ns0:t>45 tarefas • 5 integrantes • prazo provisório 13/11/2026 • todos os status aguardam validação do grupo</ns0:t>
        </ns0:is>
      </ns0:c>
    </ns0:row>
    <ns0:row r="4" ht="31" customHeight="1">
      <ns0:c r="A4" s="2" t="inlineStr">
        <ns0:is>
          <ns0:t>ID</ns0:t>
        </ns0:is>
      </ns0:c>
      <ns0:c r="B4" s="2" t="inlineStr">
        <ns0:is>
          <ns0:t>Card de referência</ns0:t>
        </ns0:is>
      </ns0:c>
      <ns0:c r="C4" s="2" t="inlineStr">
        <ns0:is>
          <ns0:t>Tarefa</ns0:t>
        </ns0:is>
      </ns0:c>
      <ns0:c r="D4" s="2" t="inlineStr">
        <ns0:is>
          <ns0:t>Responsável</ns0:t>
        </ns0:is>
      </ns0:c>
      <ns0:c r="E4" s="2" t="inlineStr">
        <ns0:is>
          <ns0:t>Esforço (h)</ns0:t>
        </ns0:is>
      </ns0:c>
      <ns0:c r="F4" s="2" t="inlineStr">
        <ns0:is>
          <ns0:t>Início</ns0:t>
        </ns0:is>
      </ns0:c>
      <ns0:c r="G4" s="2" t="inlineStr">
        <ns0:is>
          <ns0:t>Prazo</ns0:t>
        </ns0:is>
      </ns0:c>
      <ns0:c r="H4" s="2" t="inlineStr">
        <ns0:is>
          <ns0:t>Predecessoras</ns0:t>
        </ns0:is>
      </ns0:c>
      <ns0:c r="I4" s="2" t="inlineStr">
        <ns0:is>
          <ns0:t>Prioridade</ns0:t>
        </ns0:is>
      </ns0:c>
      <ns0:c r="J4" s="2" t="inlineStr">
        <ns0:is>
          <ns0:t>Status</ns0:t>
        </ns0:is>
      </ns0:c>
      <ns0:c r="K4" s="2" t="inlineStr">
        <ns0:is>
          <ns0:t>Entregável / critério de aceite</ns0:t>
        </ns0:is>
      </ns0:c>
      <ns0:c r="L4" s="2" t="inlineStr">
        <ns0:is>
          <ns0:t>Requisitos</ns0:t>
        </ns0:is>
      </ns0:c>
      <ns0:c r="M4" s="2" t="inlineStr">
        <ns0:is>
          <ns0:t>Fase</ns0:t>
        </ns0:is>
      </ns0:c>
      <ns0:c r="N4" s="2" t="inlineStr">
        <ns0:is>
          <ns0:t>Evidência / pendência</ns0:t>
        </ns0:is>
      </ns0:c>
      <ns0:c r="O4" s="2" t="inlineStr">
        <ns0:is>
          <ns0:t>Dependências</ns0:t>
        </ns0:is>
      </ns0:c>
    </ns0:row>
    <ns0:row r="5" ht="76" customHeight="1">
      <ns0:c r="A5" s="3" t="inlineStr">
        <ns0:is>
          <ns0:t>A01</ns0:t>
        </ns0:is>
      </ns0:c>
      <ns0:c r="B5" s="3" t="inlineStr">
        <ns0:is>
          <ns0:t>N2-PLAN / ajustes N1</ns0:t>
        </ns0:is>
      </ns0:c>
      <ns0:c r="C5" s="3" t="inlineStr">
        <ns0:is>
          <ns0:t>Fechar escopo e conferir material da atividade</ns0:t>
        </ns0:is>
      </ns0:c>
      <ns0:c r="D5" s="3" t="inlineStr">
        <ns0:is>
          <ns0:t>Alyson de Lima de Oliveira</ns0:t>
        </ns0:is>
      </ns0:c>
      <ns0:c r="E5" s="3" t="n">
        <ns0:v>2</ns0:v>
      </ns0:c>
      <ns0:c r="F5" s="4" t="n">
        <ns0:v>46300</ns0:v>
      </ns0:c>
      <ns0:c r="G5" s="4" t="n">
        <ns0:v>46300</ns0:v>
      </ns0:c>
      <ns0:c r="H5" s="3" t="inlineStr"/>
      <ns0:c r="I5" s="3" t="inlineStr">
        <ns0:is>
          <ns0:t>P0</ns0:t>
        </ns0:is>
      </ns0:c>
      <ns0:c r="J5" s="3" t="inlineStr">
        <ns0:is>
          <ns0:t>Planejada — validar com o grupo</ns0:t>
        </ns0:is>
      </ns0:c>
      <ns0:c r="K5" s="3" t="inlineStr">
        <ns0:is>
          <ns0:t>Lista de pendências do README conciliada; modelo da aula e prazo confirmados com equipe</ns0:t>
        </ns0:is>
      </ns0:c>
      <ns0:c r="L5" s="3" t="inlineStr">
        <ns0:is>
          <ns0:t>RF01–RF48</ns0:t>
        </ns0:is>
      </ns0:c>
      <ns0:c r="M5" s="3" t="inlineStr">
        <ns0:is>
          <ns0:t>Planejamento</ns0:t>
        </ns0:is>
      </ns0:c>
      <ns0:c r="N5" s="3" t="inlineStr">
        <ns0:is>
          <ns0:t>Material de aula e prazo ainda não fornecidos</ns0:t>
        </ns0:is>
      </ns0:c>
      <ns0:c r="O5" s="3" t="str">
        <ns0:f>IF(F5&lt;=G5,"OK","Rever datas")</ns0:f>
        <ns0:v>OK</ns0:v>
      </ns0:c>
    </ns0:row>
    <ns0:row r="6" ht="76" customHeight="1">
      <ns0:c r="A6" s="3" t="inlineStr">
        <ns0:is>
          <ns0:t>A02</ns0:t>
        </ns0:is>
      </ns0:c>
      <ns0:c r="B6" s="3" t="inlineStr">
        <ns0:is>
          <ns0:t>N2-P1-CU</ns0:t>
        </ns0:is>
      </ns0:c>
      <ns0:c r="C6" s="3" t="inlineStr">
        <ns0:is>
          <ns0:t>Revisar caso de uso e seu passo a passo</ns0:t>
        </ns0:is>
      </ns0:c>
      <ns0:c r="D6" s="3" t="inlineStr">
        <ns0:is>
          <ns0:t>Alyson de Lima de Oliveira</ns0:t>
        </ns0:is>
      </ns0:c>
      <ns0:c r="E6" s="3" t="n">
        <ns0:v>4</ns0:v>
      </ns0:c>
      <ns0:c r="F6" s="4" t="n">
        <ns0:v>46301</ns0:v>
      </ns0:c>
      <ns0:c r="G6" s="4" t="n">
        <ns0:v>46301</ns0:v>
      </ns0:c>
      <ns0:c r="H6" s="3" t="inlineStr">
        <ns0:is>
          <ns0:t>A01</ns0:t>
        </ns0:is>
      </ns0:c>
      <ns0:c r="I6" s="3" t="inlineStr">
        <ns0:is>
          <ns0:t>P0</ns0:t>
        </ns0:is>
      </ns0:c>
      <ns0:c r="J6" s="3" t="inlineStr">
        <ns0:is>
          <ns0:t>Planejada — validar com o grupo</ns0:t>
        </ns0:is>
      </ns0:c>
      <ns0:c r="K6" s="3" t="inlineStr">
        <ns0:is>
          <ns0:t>Atores, fronteira, associações e include/extend conferidos; aluno só acessa gabarito liberado</ns0:t>
        </ns0:is>
      </ns0:c>
      <ns0:c r="L6" s="3" t="inlineStr">
        <ns0:is>
          <ns0:t>RF01–RF48</ns0:t>
        </ns0:is>
      </ns0:c>
      <ns0:c r="M6" s="3" t="inlineStr">
        <ns0:is>
          <ns0:t>Modelagem</ns0:t>
        </ns0:is>
      </ns0:c>
      <ns0:c r="N6" s="3" t="inlineStr">
        <ns0:is>
          <ns0:t>Rascunho entregue nesta atividade; validação do grupo pendente</ns0:t>
        </ns0:is>
      </ns0:c>
      <ns0:c r="O6" s="3" t="str">
        <ns0:f>IF(AND(COUNTIF($A$5:$A$49,"A01")=1,F6&gt;MAX(SUMIF($A$5:$A$49,"A01",$G$5:$G$49))),"OK","Rever IDs/datas")</ns0:f>
        <ns0:v>OK</ns0:v>
      </ns0:c>
    </ns0:row>
    <ns0:row r="7" ht="76" customHeight="1">
      <ns0:c r="A7" s="3" t="inlineStr">
        <ns0:is>
          <ns0:t>D01</ns0:t>
        </ns0:is>
      </ns0:c>
      <ns0:c r="B7" s="3" t="inlineStr">
        <ns0:is>
          <ns0:t>N1-INF-01 / ambiente N2</ns0:t>
        </ns0:is>
      </ns0:c>
      <ns0:c r="C7" s="3" t="inlineStr">
        <ns0:is>
          <ns0:t>Reproduzir ambiente e definir versão Python/Node</ns0:t>
        </ns0:is>
      </ns0:c>
      <ns0:c r="D7" s="3" t="inlineStr">
        <ns0:is>
          <ns0:t>Diego Rafael da Silva Dornelles</ns0:t>
        </ns0:is>
      </ns0:c>
      <ns0:c r="E7" s="3" t="n">
        <ns0:v>4</ns0:v>
      </ns0:c>
      <ns0:c r="F7" s="4" t="n">
        <ns0:v>46301</ns0:v>
      </ns0:c>
      <ns0:c r="G7" s="4" t="n">
        <ns0:v>46301</ns0:v>
      </ns0:c>
      <ns0:c r="H7" s="3" t="inlineStr">
        <ns0:is>
          <ns0:t>A01</ns0:t>
        </ns0:is>
      </ns0:c>
      <ns0:c r="I7" s="3" t="inlineStr">
        <ns0:is>
          <ns0:t>P0</ns0:t>
        </ns0:is>
      </ns0:c>
      <ns0:c r="J7" s="3" t="inlineStr">
        <ns0:is>
          <ns0:t>Planejada — validar com o grupo</ns0:t>
        </ns0:is>
      </ns0:c>
      <ns0:c r="K7" s="3" t="inlineStr">
        <ns0:is>
          <ns0:t>Instalação limpa, API e frontend iniciam; versão validada registrada; dependências vulneráveis triadas</ns0:t>
        </ns0:is>
      </ns0:c>
      <ns0:c r="L7" s="3" t="inlineStr">
        <ns0:is>
          <ns0:t>RNF06; RNF09</ns0:t>
        </ns0:is>
      </ns0:c>
      <ns0:c r="M7" s="3" t="inlineStr">
        <ns0:is>
          <ns0:t>Infraestrutura</ns0:t>
        </ns0:is>
      </ns0:c>
      <ns0:c r="N7" s="3" t="inlineStr">
        <ns0:is>
          <ns0:t>.venv incompleta; Python README 3.11 versus teste 3.14; quatro alertas npm</ns0:t>
        </ns0:is>
      </ns0:c>
      <ns0:c r="O7" s="3" t="str">
        <ns0:f>IF(AND(COUNTIF($A$5:$A$49,"A01")=1,F7&gt;MAX(SUMIF($A$5:$A$49,"A01",$G$5:$G$49))),"OK","Rever IDs/datas")</ns0:f>
        <ns0:v>OK</ns0:v>
      </ns0:c>
    </ns0:row>
    <ns0:row r="8" ht="76" customHeight="1">
      <ns0:c r="A8" s="3" t="inlineStr">
        <ns0:is>
          <ns0:t>E01</ns0:t>
        </ns0:is>
      </ns0:c>
      <ns0:c r="B8" s="3" t="inlineStr">
        <ns0:is>
          <ns0:t>N2-REQ / ajustes N1</ns0:t>
        </ns0:is>
      </ns0:c>
      <ns0:c r="C8" s="3" t="inlineStr">
        <ns0:is>
          <ns0:t>Consolidar regras de correção e acesso</ns0:t>
        </ns0:is>
      </ns0:c>
      <ns0:c r="D8" s="3" t="inlineStr">
        <ns0:is>
          <ns0:t>Eloisa Fazzio da Silva Rocha</ns0:t>
        </ns0:is>
      </ns0:c>
      <ns0:c r="E8" s="3" t="n">
        <ns0:v>4</ns0:v>
      </ns0:c>
      <ns0:c r="F8" s="4" t="n">
        <ns0:v>46301</ns0:v>
      </ns0:c>
      <ns0:c r="G8" s="4" t="n">
        <ns0:v>46301</ns0:v>
      </ns0:c>
      <ns0:c r="H8" s="3" t="inlineStr">
        <ns0:is>
          <ns0:t>A01</ns0:t>
        </ns0:is>
      </ns0:c>
      <ns0:c r="I8" s="3" t="inlineStr">
        <ns0:is>
          <ns0:t>P0</ns0:t>
        </ns0:is>
      </ns0:c>
      <ns0:c r="J8" s="3" t="inlineStr">
        <ns0:is>
          <ns0:t>Planejada — validar com o grupo</ns0:t>
        </ns0:is>
      </ns0:c>
      <ns0:c r="K8" s="3" t="inlineStr">
        <ns0:is>
          <ns0:t>RF/RN rastreados; aluno sem conta; liberação do gabarito e nota máxima definidos</ns0:t>
        </ns0:is>
      </ns0:c>
      <ns0:c r="L8" s="3" t="inlineStr">
        <ns0:is>
          <ns0:t>RF29–RF40; RN01–RN05; RN14</ns0:t>
        </ns0:is>
      </ns0:c>
      <ns0:c r="M8" s="3" t="inlineStr">
        <ns0:is>
          <ns0:t>Requisitos</ns0:t>
        </ns0:is>
      </ns0:c>
      <ns0:c r="N8" s="3" t="inlineStr">
        <ns0:is>
          <ns0:t>Não criar regras sem confrontar requisitos</ns0:t>
        </ns0:is>
      </ns0:c>
      <ns0:c r="O8" s="3" t="str">
        <ns0:f>IF(AND(COUNTIF($A$5:$A$49,"A01")=1,F8&gt;MAX(SUMIF($A$5:$A$49,"A01",$G$5:$G$49))),"OK","Rever IDs/datas")</ns0:f>
        <ns0:v>OK</ns0:v>
      </ns0:c>
    </ns0:row>
    <ns0:row r="9" ht="76" customHeight="1">
      <ns0:c r="A9" s="3" t="inlineStr">
        <ns0:is>
          <ns0:t>L01</ns0:t>
        </ns0:is>
      </ns0:c>
      <ns0:c r="B9" s="3" t="inlineStr">
        <ns0:is>
          <ns0:t>N2-BE-01</ns0:t>
        </ns0:is>
      </ns0:c>
      <ns0:c r="C9" s="3" t="inlineStr">
        <ns0:is>
          <ns0:t>Unificar entrypoint, contratos e camadas da API</ns0:t>
        </ns0:is>
      </ns0:c>
      <ns0:c r="D9" s="3" t="inlineStr">
        <ns0:is>
          <ns0:t>Luan Eliseu</ns0:t>
        </ns0:is>
      </ns0:c>
      <ns0:c r="E9" s="3" t="n">
        <ns0:v>3</ns0:v>
      </ns0:c>
      <ns0:c r="F9" s="4" t="n">
        <ns0:v>46301</ns0:v>
      </ns0:c>
      <ns0:c r="G9" s="4" t="n">
        <ns0:v>46301</ns0:v>
      </ns0:c>
      <ns0:c r="H9" s="3" t="inlineStr">
        <ns0:is>
          <ns0:t>A01</ns0:t>
        </ns0:is>
      </ns0:c>
      <ns0:c r="I9" s="3" t="inlineStr">
        <ns0:is>
          <ns0:t>P0</ns0:t>
        </ns0:is>
      </ns0:c>
      <ns0:c r="J9" s="3" t="inlineStr">
        <ns0:is>
          <ns0:t>Planejada — validar com o grupo</ns0:t>
        </ns0:is>
      </ns0:c>
      <ns0:c r="K9" s="3" t="inlineStr">
        <ns0:is>
          <ns0:t>Contrato de sessão/erros/campos definido; controllers/services/repositories sem duplicar /api e /n1</ns0:t>
        </ns0:is>
      </ns0:c>
      <ns0:c r="L9" s="3" t="inlineStr">
        <ns0:is>
          <ns0:t>RF01–RF48; RNF08–RNF09</ns0:t>
        </ns0:is>
      </ns0:c>
      <ns0:c r="M9" s="3" t="inlineStr">
        <ns0:is>
          <ns0:t>Backend</ns0:t>
        </ns0:is>
      </ns0:c>
      <ns0:c r="N9" s="3" t="inlineStr">
        <ns0:is>
          <ns0:t>PR #40 como referência da auditoria local; confirmar estado antes de integrar</ns0:t>
        </ns0:is>
      </ns0:c>
      <ns0:c r="O9" s="3" t="str">
        <ns0:f>IF(AND(COUNTIF($A$5:$A$49,"A01")=1,F9&gt;MAX(SUMIF($A$5:$A$49,"A01",$G$5:$G$49))),"OK","Rever IDs/datas")</ns0:f>
        <ns0:v>OK</ns0:v>
      </ns0:c>
    </ns0:row>
    <ns0:row r="10" ht="76" customHeight="1">
      <ns0:c r="A10" s="3" t="inlineStr">
        <ns0:is>
          <ns0:t>A05</ns0:t>
        </ns0:is>
      </ns0:c>
      <ns0:c r="B10" s="3" t="inlineStr">
        <ns0:is>
          <ns0:t>N2-DOC-01</ns0:t>
        </ns0:is>
      </ns0:c>
      <ns0:c r="C10" s="3" t="inlineStr">
        <ns0:is>
          <ns0:t>Consolidar arquitetura em camadas e ADRs</ns0:t>
        </ns0:is>
      </ns0:c>
      <ns0:c r="D10" s="3" t="inlineStr">
        <ns0:is>
          <ns0:t>Alyson de Lima de Oliveira</ns0:t>
        </ns0:is>
      </ns0:c>
      <ns0:c r="E10" s="3" t="n">
        <ns0:v>5</ns0:v>
      </ns0:c>
      <ns0:c r="F10" s="4" t="n">
        <ns0:v>46302</ns0:v>
      </ns0:c>
      <ns0:c r="G10" s="4" t="n">
        <ns0:v>46308</ns0:v>
      </ns0:c>
      <ns0:c r="H10" s="3" t="inlineStr">
        <ns0:is>
          <ns0:t>L01, E01</ns0:t>
        </ns0:is>
      </ns0:c>
      <ns0:c r="I10" s="3" t="inlineStr">
        <ns0:is>
          <ns0:t>P1</ns0:t>
        </ns0:is>
      </ns0:c>
      <ns0:c r="J10" s="3" t="inlineStr">
        <ns0:is>
          <ns0:t>Planejada — validar com o grupo</ns0:t>
        </ns0:is>
      </ns0:c>
      <ns0:c r="K10" s="3" t="inlineStr">
        <ns0:is>
          <ns0:t>ADRs justificam PostgreSQL versus MySQL, cookie, domínio único, snapshots e compensação Storage</ns0:t>
        </ns0:is>
      </ns0:c>
      <ns0:c r="L10" s="3" t="inlineStr">
        <ns0:is>
          <ns0:t>RNF08–RNF09; RN14</ns0:t>
        </ns0:is>
      </ns0:c>
      <ns0:c r="M10" s="3" t="inlineStr">
        <ns0:is>
          <ns0:t>Documentação</ns0:t>
        </ns0:is>
      </ns0:c>
      <ns0:c r="N10" s="3" t="inlineStr">
        <ns0:is>
          <ns0:t>PR #54 como referência local; confirmar estado e decisões</ns0:t>
        </ns0:is>
      </ns0:c>
      <ns0:c r="O10" s="3" t="str">
        <ns0:f>IF(AND(COUNTIF($A$5:$A$49,"L01")=1,COUNTIF($A$5:$A$49,"E01")=1,F10&gt;MAX(SUMIF($A$5:$A$49,"L01",$G$5:$G$49),SUMIF($A$5:$A$49,"E01",$G$5:$G$49))),"OK","Rever IDs/datas")</ns0:f>
        <ns0:v>OK</ns0:v>
      </ns0:c>
    </ns0:row>
    <ns0:row r="11" ht="76" customHeight="1">
      <ns0:c r="A11" s="3" t="inlineStr">
        <ns0:is>
          <ns0:t>D02</ns0:t>
        </ns0:is>
      </ns0:c>
      <ns0:c r="B11" s="3" t="inlineStr">
        <ns0:is>
          <ns0:t>N2-INF-02 / N2-P1-CL</ns0:t>
        </ns0:is>
      </ns0:c>
      <ns0:c r="C11" s="3" t="inlineStr">
        <ns0:is>
          <ns0:t>Revisar classes UML e conciliar DER</ns0:t>
        </ns0:is>
      </ns0:c>
      <ns0:c r="D11" s="3" t="inlineStr">
        <ns0:is>
          <ns0:t>Diego Rafael da Silva Dornelles</ns0:t>
        </ns0:is>
      </ns0:c>
      <ns0:c r="E11" s="3" t="n">
        <ns0:v>4</ns0:v>
      </ns0:c>
      <ns0:c r="F11" s="4" t="n">
        <ns0:v>46302</ns0:v>
      </ns0:c>
      <ns0:c r="G11" s="4" t="n">
        <ns0:v>46302</ns0:v>
      </ns0:c>
      <ns0:c r="H11" s="3" t="inlineStr">
        <ns0:is>
          <ns0:t>A02, E01</ns0:t>
        </ns0:is>
      </ns0:c>
      <ns0:c r="I11" s="3" t="inlineStr">
        <ns0:is>
          <ns0:t>P0</ns0:t>
        </ns0:is>
      </ns0:c>
      <ns0:c r="J11" s="3" t="inlineStr">
        <ns0:is>
          <ns0:t>Planejada — validar com o grupo</ns0:t>
        </ns0:is>
      </ns0:c>
      <ns0:c r="K11" s="3" t="inlineStr">
        <ns0:is>
          <ns0:t>Multiplicidades, snapshots e modelo conceitual separados do schema; passos documentados</ns0:t>
        </ns0:is>
      </ns0:c>
      <ns0:c r="L11" s="3" t="inlineStr">
        <ns0:is>
          <ns0:t>RN14; N2 Parte 1</ns0:t>
        </ns0:is>
      </ns0:c>
      <ns0:c r="M11" s="3" t="inlineStr">
        <ns0:is>
          <ns0:t>Modelagem</ns0:t>
        </ns0:is>
      </ns0:c>
      <ns0:c r="N11" s="3" t="inlineStr">
        <ns0:is>
          <ns0:t>Modelo N2 ainda é referência de PR; não declarar implantação</ns0:t>
        </ns0:is>
      </ns0:c>
      <ns0:c r="O11" s="3" t="str">
        <ns0:f>IF(AND(COUNTIF($A$5:$A$49,"A02")=1,COUNTIF($A$5:$A$49,"E01")=1,F11&gt;MAX(SUMIF($A$5:$A$49,"A02",$G$5:$G$49),SUMIF($A$5:$A$49,"E01",$G$5:$G$49))),"OK","Rever IDs/datas")</ns0:f>
        <ns0:v>OK</ns0:v>
      </ns0:c>
    </ns0:row>
    <ns0:row r="12" ht="76" customHeight="1">
      <ns0:c r="A12" s="3" t="inlineStr">
        <ns0:is>
          <ns0:t>E02</ns0:t>
        </ns0:is>
      </ns0:c>
      <ns0:c r="B12" s="3" t="inlineStr">
        <ns0:is>
          <ns0:t>N2-P1-AT</ns0:t>
        </ns0:is>
      </ns0:c>
      <ns0:c r="C12" s="3" t="inlineStr">
        <ns0:is>
          <ns0:t>Revisar atividade da correção e seu passo a passo</ns0:t>
        </ns0:is>
      </ns0:c>
      <ns0:c r="D12" s="3" t="inlineStr">
        <ns0:is>
          <ns0:t>Eloisa Fazzio da Silva Rocha</ns0:t>
        </ns0:is>
      </ns0:c>
      <ns0:c r="E12" s="3" t="n">
        <ns0:v>4</ns0:v>
      </ns0:c>
      <ns0:c r="F12" s="4" t="n">
        <ns0:v>46302</ns0:v>
      </ns0:c>
      <ns0:c r="G12" s="4" t="n">
        <ns0:v>46302</ns0:v>
      </ns0:c>
      <ns0:c r="H12" s="3" t="inlineStr">
        <ns0:is>
          <ns0:t>A02, E01</ns0:t>
        </ns0:is>
      </ns0:c>
      <ns0:c r="I12" s="3" t="inlineStr">
        <ns0:is>
          <ns0:t>P0</ns0:t>
        </ns0:is>
      </ns0:c>
      <ns0:c r="J12" s="3" t="inlineStr">
        <ns0:is>
          <ns0:t>Planejada — validar com o grupo</ns0:t>
        </ns0:is>
      </ns0:c>
      <ns0:c r="K12" s="3" t="inlineStr">
        <ns0:is>
          <ns0:t>Fluxo normal, decisões, rejeições e falha de persistência conferidos</ns0:t>
        </ns0:is>
      </ns0:c>
      <ns0:c r="L12" s="3" t="inlineStr">
        <ns0:is>
          <ns0:t>RF31–RF40</ns0:t>
        </ns0:is>
      </ns0:c>
      <ns0:c r="M12" s="3" t="inlineStr">
        <ns0:is>
          <ns0:t>Modelagem</ns0:t>
        </ns0:is>
      </ns0:c>
      <ns0:c r="N12" s="3" t="inlineStr">
        <ns0:is>
          <ns0:t>Rascunho fornecido; grupo valida regras de leitura</ns0:t>
        </ns0:is>
      </ns0:c>
      <ns0:c r="O12" s="3" t="str">
        <ns0:f>IF(AND(COUNTIF($A$5:$A$49,"A02")=1,COUNTIF($A$5:$A$49,"E01")=1,F12&gt;MAX(SUMIF($A$5:$A$49,"A02",$G$5:$G$49),SUMIF($A$5:$A$49,"E01",$G$5:$G$49))),"OK","Rever IDs/datas")</ns0:f>
        <ns0:v>OK</ns0:v>
      </ns0:c>
    </ns0:row>
    <ns0:row r="13" ht="76" customHeight="1">
      <ns0:c r="A13" s="3" t="inlineStr">
        <ns0:is>
          <ns0:t>G06</ns0:t>
        </ns0:is>
      </ns0:c>
      <ns0:c r="B13" s="3" t="inlineStr">
        <ns0:is>
          <ns0:t>N1-FE-06 / N2-BE-05</ns0:t>
        </ns0:is>
      </ns0:c>
      <ns0:c r="C13" s="3" t="inlineStr">
        <ns0:is>
          <ns0:t>Ajustar folha impressa ao layout OMR</ns0:t>
        </ns0:is>
      </ns0:c>
      <ns0:c r="D13" s="3" t="inlineStr">
        <ns0:is>
          <ns0:t>Gabriel Koehler da Silva</ns0:t>
        </ns0:is>
      </ns0:c>
      <ns0:c r="E13" s="3" t="n">
        <ns0:v>4</ns0:v>
      </ns0:c>
      <ns0:c r="F13" s="4" t="n">
        <ns0:v>46302</ns0:v>
      </ns0:c>
      <ns0:c r="G13" s="4" t="n">
        <ns0:v>46302</ns0:v>
      </ns0:c>
      <ns0:c r="H13" s="3" t="inlineStr">
        <ns0:is>
          <ns0:t>E01</ns0:t>
        </ns0:is>
      </ns0:c>
      <ns0:c r="I13" s="3" t="inlineStr">
        <ns0:is>
          <ns0:t>P0</ns0:t>
        </ns0:is>
      </ns0:c>
      <ns0:c r="J13" s="3" t="inlineStr">
        <ns0:is>
          <ns0:t>Planejada — validar com o grupo</ns0:t>
        </ns0:is>
      </ns0:c>
      <ns0:c r="K13" s="3" t="inlineStr">
        <ns0:is>
          <ns0:t>A4 com QR, marcadores e grade fixa; layout acordado com Luan; impressão verificada</ns0:t>
        </ns0:is>
      </ns0:c>
      <ns0:c r="L13" s="3" t="inlineStr">
        <ns0:is>
          <ns0:t>RF26–RF28; RF31–RF37</ns0:t>
        </ns0:is>
      </ns0:c>
      <ns0:c r="M13" s="3" t="inlineStr">
        <ns0:is>
          <ns0:t>Frontend</ns0:t>
        </ns0:is>
      </ns0:c>
      <ns0:c r="N13" s="3" t="inlineStr">
        <ns0:is>
          <ns0:t>Conferência completa de Figma e impressão ainda pendentes</ns0:t>
        </ns0:is>
      </ns0:c>
      <ns0:c r="O13" s="3" t="str">
        <ns0:f>IF(AND(COUNTIF($A$5:$A$49,"E01")=1,F13&gt;MAX(SUMIF($A$5:$A$49,"E01",$G$5:$G$49))),"OK","Rever IDs/datas")</ns0:f>
        <ns0:v>OK</ns0:v>
      </ns0:c>
    </ns0:row>
    <ns0:row r="14" ht="76" customHeight="1">
      <ns0:c r="A14" s="3" t="inlineStr">
        <ns0:is>
          <ns0:t>A03</ns0:t>
        </ns0:is>
      </ns0:c>
      <ns0:c r="B14" s="3" t="inlineStr">
        <ns0:is>
          <ns0:t>N2-P1-SQ</ns0:t>
        </ns0:is>
      </ns0:c>
      <ns0:c r="C14" s="3" t="inlineStr">
        <ns0:is>
          <ns0:t>Revisar sequência da correção e seu passo a passo</ns0:t>
        </ns0:is>
      </ns0:c>
      <ns0:c r="D14" s="3" t="inlineStr">
        <ns0:is>
          <ns0:t>Alyson de Lima de Oliveira</ns0:t>
        </ns0:is>
      </ns0:c>
      <ns0:c r="E14" s="3" t="n">
        <ns0:v>4</ns0:v>
      </ns0:c>
      <ns0:c r="F14" s="4" t="n">
        <ns0:v>46303</ns0:v>
      </ns0:c>
      <ns0:c r="G14" s="4" t="n">
        <ns0:v>46303</ns0:v>
      </ns0:c>
      <ns0:c r="H14" s="3" t="inlineStr">
        <ns0:is>
          <ns0:t>E02, D02, L01</ns0:t>
        </ns0:is>
      </ns0:c>
      <ns0:c r="I14" s="3" t="inlineStr">
        <ns0:is>
          <ns0:t>P0</ns0:t>
        </ns0:is>
      </ns0:c>
      <ns0:c r="J14" s="3" t="inlineStr">
        <ns0:is>
          <ns0:t>Planejada — validar com o grupo</ns0:t>
        </ns0:is>
      </ns0:c>
      <ns0:c r="K14" s="3" t="inlineStr">
        <ns0:is>
          <ns0:t>Lifelines, ordem das mensagens e alternativas compatíveis com atividade e classes</ns0:t>
        </ns0:is>
      </ns0:c>
      <ns0:c r="L14" s="3" t="inlineStr">
        <ns0:is>
          <ns0:t>RF31–RF40</ns0:t>
        </ns0:is>
      </ns0:c>
      <ns0:c r="M14" s="3" t="inlineStr">
        <ns0:is>
          <ns0:t>Modelagem</ns0:t>
        </ns0:is>
      </ns0:c>
      <ns0:c r="N14" s="3" t="inlineStr">
        <ns0:is>
          <ns0:t>Sequência representa arquitetura proposta, não código homologado</ns0:t>
        </ns0:is>
      </ns0:c>
      <ns0:c r="O14" s="3" t="str">
        <ns0:f>IF(AND(COUNTIF($A$5:$A$49,"E02")=1,COUNTIF($A$5:$A$49,"D02")=1,COUNTIF($A$5:$A$49,"L01")=1,F14&gt;MAX(SUMIF($A$5:$A$49,"E02",$G$5:$G$49),SUMIF($A$5:$A$49,"D02",$G$5:$G$49),SUMIF($A$5:$A$49,"L01",$G$5:$G$49))),"OK","Rever IDs/datas")</ns0:f>
        <ns0:v>OK</ns0:v>
      </ns0:c>
    </ns0:row>
    <ns0:row r="15" ht="76" customHeight="1">
      <ns0:c r="A15" s="3" t="inlineStr">
        <ns0:is>
          <ns0:t>D03</ns0:t>
        </ns0:is>
      </ns0:c>
      <ns0:c r="B15" s="3" t="inlineStr">
        <ns0:is>
          <ns0:t>N2-INF-01</ns0:t>
        </ns0:is>
      </ns0:c>
      <ns0:c r="C15" s="3" t="inlineStr">
        <ns0:is>
          <ns0:t>Validar schema, seed e migração em PostgreSQL</ns0:t>
        </ns0:is>
      </ns0:c>
      <ns0:c r="D15" s="3" t="inlineStr">
        <ns0:is>
          <ns0:t>Diego Rafael da Silva Dornelles</ns0:t>
        </ns0:is>
      </ns0:c>
      <ns0:c r="E15" s="3" t="n">
        <ns0:v>5</ns0:v>
      </ns0:c>
      <ns0:c r="F15" s="4" t="n">
        <ns0:v>46303</ns0:v>
      </ns0:c>
      <ns0:c r="G15" s="4" t="n">
        <ns0:v>46304</ns0:v>
      </ns0:c>
      <ns0:c r="H15" s="3" t="inlineStr">
        <ns0:is>
          <ns0:t>D01, L01</ns0:t>
        </ns0:is>
      </ns0:c>
      <ns0:c r="I15" s="3" t="inlineStr">
        <ns0:is>
          <ns0:t>P0</ns0:t>
        </ns0:is>
      </ns0:c>
      <ns0:c r="J15" s="3" t="inlineStr">
        <ns0:is>
          <ns0:t>Planejada — validar com o grupo</ns0:t>
        </ns0:is>
      </ns0:c>
      <ns0:c r="K15" s="3" t="inlineStr">
        <ns0:is>
          <ns0:t>DDL/seed executam em banco vazio e repetição não duplica dados; caminho SQL oficial definido</ns0:t>
        </ns0:is>
      </ns0:c>
      <ns0:c r="L15" s="3" t="inlineStr">
        <ns0:is>
          <ns0:t>RNF08; RN14</ns0:t>
        </ns0:is>
      </ns0:c>
      <ns0:c r="M15" s="3" t="inlineStr">
        <ns0:is>
          <ns0:t>Banco / Infraestrutura</ns0:t>
        </ns0:is>
      </ns0:c>
      <ns0:c r="N15" s="3" t="inlineStr">
        <ns0:is>
          <ns0:t>Scripts locais preparados, execução SQL pendente</ns0:t>
        </ns0:is>
      </ns0:c>
      <ns0:c r="O15" s="3" t="str">
        <ns0:f>IF(AND(COUNTIF($A$5:$A$49,"D01")=1,COUNTIF($A$5:$A$49,"L01")=1,F15&gt;MAX(SUMIF($A$5:$A$49,"D01",$G$5:$G$49),SUMIF($A$5:$A$49,"L01",$G$5:$G$49))),"OK","Rever IDs/datas")</ns0:f>
        <ns0:v>OK</ns0:v>
      </ns0:c>
    </ns0:row>
    <ns0:row r="16" ht="76" customHeight="1">
      <ns0:c r="A16" s="3" t="inlineStr">
        <ns0:is>
          <ns0:t>E03</ns0:t>
        </ns0:is>
      </ns0:c>
      <ns0:c r="B16" s="3" t="inlineStr">
        <ns0:is>
          <ns0:t>N2-MER-01</ns0:t>
        </ns0:is>
      </ns0:c>
      <ns0:c r="C16" s="3" t="inlineStr">
        <ns0:is>
          <ns0:t>Consolidar MER e cardinalidades da N2</ns0:t>
        </ns0:is>
      </ns0:c>
      <ns0:c r="D16" s="3" t="inlineStr">
        <ns0:is>
          <ns0:t>Eloisa Fazzio da Silva Rocha</ns0:t>
        </ns0:is>
      </ns0:c>
      <ns0:c r="E16" s="3" t="n">
        <ns0:v>4</ns0:v>
      </ns0:c>
      <ns0:c r="F16" s="4" t="n">
        <ns0:v>46303</ns0:v>
      </ns0:c>
      <ns0:c r="G16" s="4" t="n">
        <ns0:v>46303</ns0:v>
      </ns0:c>
      <ns0:c r="H16" s="3" t="inlineStr">
        <ns0:is>
          <ns0:t>E01</ns0:t>
        </ns0:is>
      </ns0:c>
      <ns0:c r="I16" s="3" t="inlineStr">
        <ns0:is>
          <ns0:t>P0</ns0:t>
        </ns0:is>
      </ns0:c>
      <ns0:c r="J16" s="3" t="inlineStr">
        <ns0:is>
          <ns0:t>Planejada — validar com o grupo</ns0:t>
        </ns0:is>
      </ns0:c>
      <ns0:c r="K16" s="3" t="inlineStr">
        <ns0:is>
          <ns0:t>MER inclui versão, código único, snapshots e liberação do gabarito; alinhado ao DER</ns0:t>
        </ns0:is>
      </ns0:c>
      <ns0:c r="L16" s="3" t="inlineStr">
        <ns0:is>
          <ns0:t>RF14–RF30; RN14</ns0:t>
        </ns0:is>
      </ns0:c>
      <ns0:c r="M16" s="3" t="inlineStr">
        <ns0:is>
          <ns0:t>Modelagem</ns0:t>
        </ns0:is>
      </ns0:c>
      <ns0:c r="N16" s="3" t="inlineStr">
        <ns0:is>
          <ns0:t>PR #48 como referência local; estado remoto a confirmar</ns0:t>
        </ns0:is>
      </ns0:c>
      <ns0:c r="O16" s="3" t="str">
        <ns0:f>IF(AND(COUNTIF($A$5:$A$49,"E01")=1,F16&gt;MAX(SUMIF($A$5:$A$49,"E01",$G$5:$G$49))),"OK","Rever IDs/datas")</ns0:f>
        <ns0:v>OK</ns0:v>
      </ns0:c>
    </ns0:row>
    <ns0:row r="17" ht="76" customHeight="1">
      <ns0:c r="A17" s="3" t="inlineStr">
        <ns0:is>
          <ns0:t>A04</ns0:t>
        </ns0:is>
      </ns0:c>
      <ns0:c r="B17" s="3" t="inlineStr">
        <ns0:is>
          <ns0:t>N2-P1 / rastreabilidade</ns0:t>
        </ns0:is>
      </ns0:c>
      <ns0:c r="C17" s="3" t="inlineStr">
        <ns0:is>
          <ns0:t>Conferir os quatro diagramas e rastrear requisitos</ns0:t>
        </ns0:is>
      </ns0:c>
      <ns0:c r="D17" s="3" t="inlineStr">
        <ns0:is>
          <ns0:t>Alyson de Lima de Oliveira</ns0:t>
        </ns0:is>
      </ns0:c>
      <ns0:c r="E17" s="3" t="n">
        <ns0:v>4</ns0:v>
      </ns0:c>
      <ns0:c r="F17" s="4" t="n">
        <ns0:v>46304</ns0:v>
      </ns0:c>
      <ns0:c r="G17" s="4" t="n">
        <ns0:v>46304</ns0:v>
      </ns0:c>
      <ns0:c r="H17" s="3" t="inlineStr">
        <ns0:is>
          <ns0:t>A02, A03, E02, D02</ns0:t>
        </ns0:is>
      </ns0:c>
      <ns0:c r="I17" s="3" t="inlineStr">
        <ns0:is>
          <ns0:t>P0</ns0:t>
        </ns0:is>
      </ns0:c>
      <ns0:c r="J17" s="3" t="inlineStr">
        <ns0:is>
          <ns0:t>Planejada — validar com o grupo</ns0:t>
        </ns0:is>
      </ns0:c>
      <ns0:c r="K17" s="3" t="inlineStr">
        <ns0:is>
          <ns0:t>Cada fluxo e mensagem correspondem ao mesmo cenário; índices e passos completos</ns0:t>
        </ns0:is>
      </ns0:c>
      <ns0:c r="L17" s="3" t="inlineStr">
        <ns0:is>
          <ns0:t>N2 Parte 1; RF01–RF48</ns0:t>
        </ns0:is>
      </ns0:c>
      <ns0:c r="M17" s="3" t="inlineStr">
        <ns0:is>
          <ns0:t>Documentação</ns0:t>
        </ns0:is>
      </ns0:c>
      <ns0:c r="N17" s="3" t="inlineStr">
        <ns0:is>
          <ns0:t>Exemplo da aula ainda precisa ser disponibilizado</ns0:t>
        </ns0:is>
      </ns0:c>
      <ns0:c r="O17" s="3" t="str">
        <ns0:f>IF(AND(COUNTIF($A$5:$A$49,"A02")=1,COUNTIF($A$5:$A$49,"A03")=1,COUNTIF($A$5:$A$49,"E02")=1,COUNTIF($A$5:$A$49,"D02")=1,F17&gt;MAX(SUMIF($A$5:$A$49,"A02",$G$5:$G$49),SUMIF($A$5:$A$49,"A03",$G$5:$G$49),SUMIF($A$5:$A$49,"E02",$G$5:$G$49),SUMIF($A$5:$A$49,"D02",$G$5:$G$49))),"OK","Rever IDs/datas")</ns0:f>
        <ns0:v>OK</ns0:v>
      </ns0:c>
    </ns0:row>
    <ns0:row r="18" ht="76" customHeight="1">
      <ns0:c r="A18" s="3" t="inlineStr">
        <ns0:is>
          <ns0:t>A09</ns0:t>
        </ns0:is>
      </ns0:c>
      <ns0:c r="B18" s="3" t="inlineStr">
        <ns0:is>
          <ns0:t>N2-PLAN / Excel</ns0:t>
        </ns0:is>
      </ns0:c>
      <ns0:c r="C18" s="3" t="inlineStr">
        <ns0:is>
          <ns0:t>Revisar backlog, esforço e datas com o grupo</ns0:t>
        </ns0:is>
      </ns0:c>
      <ns0:c r="D18" s="3" t="inlineStr">
        <ns0:is>
          <ns0:t>Alyson de Lima de Oliveira</ns0:t>
        </ns0:is>
      </ns0:c>
      <ns0:c r="E18" s="3" t="n">
        <ns0:v>4</ns0:v>
      </ns0:c>
      <ns0:c r="F18" s="4" t="n">
        <ns0:v>46308</ns0:v>
      </ns0:c>
      <ns0:c r="G18" s="4" t="n">
        <ns0:v>46310</ns0:v>
      </ns0:c>
      <ns0:c r="H18" s="3" t="inlineStr">
        <ns0:is>
          <ns0:t>A04</ns0:t>
        </ns0:is>
      </ns0:c>
      <ns0:c r="I18" s="3" t="inlineStr">
        <ns0:is>
          <ns0:t>P0</ns0:t>
        </ns0:is>
      </ns0:c>
      <ns0:c r="J18" s="3" t="inlineStr">
        <ns0:is>
          <ns0:t>Planejada — validar com o grupo</ns0:t>
        </ns0:is>
      </ns0:c>
      <ns0:c r="K18" s="3" t="inlineStr">
        <ns0:is>
          <ns0:t>Cinco integrantes participam; estimativas/dependências validadas; data acadêmica confirmada</ns0:t>
        </ns0:is>
      </ns0:c>
      <ns0:c r="L18" s="3" t="inlineStr">
        <ns0:is>
          <ns0:t>Planejamento N2</ns0:t>
        </ns0:is>
      </ns0:c>
      <ns0:c r="M18" s="3" t="inlineStr">
        <ns0:is>
          <ns0:t>Planejamento</ns0:t>
        </ns0:is>
      </ns0:c>
      <ns0:c r="N18" s="3" t="inlineStr">
        <ns0:is>
          <ns0:t>Planilha atual usa prazo provisório 13/11/2026</ns0:t>
        </ns0:is>
      </ns0:c>
      <ns0:c r="O18" s="3" t="str">
        <ns0:f>IF(AND(COUNTIF($A$5:$A$49,"A04")=1,F18&gt;MAX(SUMIF($A$5:$A$49,"A04",$G$5:$G$49))),"OK","Rever IDs/datas")</ns0:f>
        <ns0:v>OK</ns0:v>
      </ns0:c>
    </ns0:row>
    <ns0:row r="19" ht="76" customHeight="1">
      <ns0:c r="A19" s="3" t="inlineStr">
        <ns0:is>
          <ns0:t>E04</ns0:t>
        </ns0:is>
      </ns0:c>
      <ns0:c r="B19" s="3" t="inlineStr">
        <ns0:is>
          <ns0:t>N2-MER-02</ns0:t>
        </ns0:is>
      </ns0:c>
      <ns0:c r="C19" s="3" t="inlineStr">
        <ns0:is>
          <ns0:t>Completar dicionário de dados e integridade</ns0:t>
        </ns0:is>
      </ns0:c>
      <ns0:c r="D19" s="3" t="inlineStr">
        <ns0:is>
          <ns0:t>Eloisa Fazzio da Silva Rocha</ns0:t>
        </ns0:is>
      </ns0:c>
      <ns0:c r="E19" s="3" t="n">
        <ns0:v>4</ns0:v>
      </ns0:c>
      <ns0:c r="F19" s="4" t="n">
        <ns0:v>46308</ns0:v>
      </ns0:c>
      <ns0:c r="G19" s="4" t="n">
        <ns0:v>46308</ns0:v>
      </ns0:c>
      <ns0:c r="H19" s="3" t="inlineStr">
        <ns0:is>
          <ns0:t>E03, D03</ns0:t>
        </ns0:is>
      </ns0:c>
      <ns0:c r="I19" s="3" t="inlineStr">
        <ns0:is>
          <ns0:t>P0</ns0:t>
        </ns0:is>
      </ns0:c>
      <ns0:c r="J19" s="3" t="inlineStr">
        <ns0:is>
          <ns0:t>Planejada — validar com o grupo</ns0:t>
        </ns0:is>
      </ns0:c>
      <ns0:c r="K19" s="3" t="inlineStr">
        <ns0:is>
          <ns0:t>Colunas/tipos/FKs/constraints e campos JSON documentados com exemplos válidos</ns0:t>
        </ns0:is>
      </ns0:c>
      <ns0:c r="L19" s="3" t="inlineStr">
        <ns0:is>
          <ns0:t>RF01–RF48; RN14</ns0:t>
        </ns0:is>
      </ns0:c>
      <ns0:c r="M19" s="3" t="inlineStr">
        <ns0:is>
          <ns0:t>Modelagem</ns0:t>
        </ns0:is>
      </ns0:c>
      <ns0:c r="N19" s="3" t="inlineStr">
        <ns0:is>
          <ns0:t>PR #49 e schema local como referências; revisar divergências</ns0:t>
        </ns0:is>
      </ns0:c>
      <ns0:c r="O19" s="3" t="str">
        <ns0:f>IF(AND(COUNTIF($A$5:$A$49,"E03")=1,COUNTIF($A$5:$A$49,"D03")=1,F19&gt;MAX(SUMIF($A$5:$A$49,"E03",$G$5:$G$49),SUMIF($A$5:$A$49,"D03",$G$5:$G$49))),"OK","Rever IDs/datas")</ns0:f>
        <ns0:v>OK</ns0:v>
      </ns0:c>
    </ns0:row>
    <ns0:row r="20" ht="76" customHeight="1">
      <ns0:c r="A20" s="3" t="inlineStr">
        <ns0:is>
          <ns0:t>L02</ns0:t>
        </ns0:is>
      </ns0:c>
      <ns0:c r="B20" s="3" t="inlineStr">
        <ns0:is>
          <ns0:t>N2-BE-02</ns0:t>
        </ns0:is>
      </ns0:c>
      <ns0:c r="C20" s="3" t="inlineStr">
        <ns0:is>
          <ns0:t>Integrar conector, pool e health do banco</ns0:t>
        </ns0:is>
      </ns0:c>
      <ns0:c r="D20" s="3" t="inlineStr">
        <ns0:is>
          <ns0:t>Luan Eliseu</ns0:t>
        </ns0:is>
      </ns0:c>
      <ns0:c r="E20" s="3" t="n">
        <ns0:v>4</ns0:v>
      </ns0:c>
      <ns0:c r="F20" s="4" t="n">
        <ns0:v>46308</ns0:v>
      </ns0:c>
      <ns0:c r="G20" s="4" t="n">
        <ns0:v>46308</ns0:v>
      </ns0:c>
      <ns0:c r="H20" s="3" t="inlineStr">
        <ns0:is>
          <ns0:t>D03, L01</ns0:t>
        </ns0:is>
      </ns0:c>
      <ns0:c r="I20" s="3" t="inlineStr">
        <ns0:is>
          <ns0:t>P0</ns0:t>
        </ns0:is>
      </ns0:c>
      <ns0:c r="J20" s="3" t="inlineStr">
        <ns0:is>
          <ns0:t>Planejada — validar com o grupo</ns0:t>
        </ns0:is>
      </ns0:c>
      <ns0:c r="K20" s="3" t="inlineStr">
        <ns0:is>
          <ns0:t>Pool conecta, health detecta queda, migrador usa schema único e credenciais fora do Git</ns0:t>
        </ns0:is>
      </ns0:c>
      <ns0:c r="L20" s="3" t="inlineStr">
        <ns0:is>
          <ns0:t>RNF08</ns0:t>
        </ns0:is>
      </ns0:c>
      <ns0:c r="M20" s="3" t="inlineStr">
        <ns0:is>
          <ns0:t>Backend</ns0:t>
        </ns0:is>
      </ns0:c>
      <ns0:c r="N20" s="3" t="inlineStr">
        <ns0:is>
          <ns0:t>PR #41 como referência local; integração e teste reais pendentes</ns0:t>
        </ns0:is>
      </ns0:c>
      <ns0:c r="O20" s="3" t="str">
        <ns0:f>IF(AND(COUNTIF($A$5:$A$49,"D03")=1,COUNTIF($A$5:$A$49,"L01")=1,F20&gt;MAX(SUMIF($A$5:$A$49,"D03",$G$5:$G$49),SUMIF($A$5:$A$49,"L01",$G$5:$G$49))),"OK","Rever IDs/datas")</ns0:f>
        <ns0:v>OK</ns0:v>
      </ns0:c>
    </ns0:row>
    <ns0:row r="21" ht="76" customHeight="1">
      <ns0:c r="A21" s="3" t="inlineStr">
        <ns0:is>
          <ns0:t>A06</ns0:t>
        </ns0:is>
      </ns0:c>
      <ns0:c r="B21" s="3" t="inlineStr">
        <ns0:is>
          <ns0:t>N2-DOC-02 / execução</ns0:t>
        </ns0:is>
      </ns0:c>
      <ns0:c r="C21" s="3" t="inlineStr">
        <ns0:is>
          <ns0:t>Atualizar guia de execução e variáveis reais</ns0:t>
        </ns0:is>
      </ns0:c>
      <ns0:c r="D21" s="3" t="inlineStr">
        <ns0:is>
          <ns0:t>Alyson de Lima de Oliveira</ns0:t>
        </ns0:is>
      </ns0:c>
      <ns0:c r="E21" s="3" t="n">
        <ns0:v>4</ns0:v>
      </ns0:c>
      <ns0:c r="F21" s="4" t="n">
        <ns0:v>46309</ns0:v>
      </ns0:c>
      <ns0:c r="G21" s="4" t="n">
        <ns0:v>46309</ns0:v>
      </ns0:c>
      <ns0:c r="H21" s="3" t="inlineStr">
        <ns0:is>
          <ns0:t>L02, D01</ns0:t>
        </ns0:is>
      </ns0:c>
      <ns0:c r="I21" s="3" t="inlineStr">
        <ns0:is>
          <ns0:t>P1</ns0:t>
        </ns0:is>
      </ns0:c>
      <ns0:c r="J21" s="3" t="inlineStr">
        <ns0:is>
          <ns0:t>Planejada — validar com o grupo</ns0:t>
        </ns0:is>
      </ns0:c>
      <ns0:c r="K21" s="3" t="inlineStr">
        <ns0:is>
          <ns0:t>README reproduz ambiente e entrypoint; versão Python e caminho SQL únicos; segredos exemplificados</ns0:t>
        </ns0:is>
      </ns0:c>
      <ns0:c r="L21" s="3" t="inlineStr">
        <ns0:is>
          <ns0:t>RNF09; N2 C3</ns0:t>
        </ns0:is>
      </ns0:c>
      <ns0:c r="M21" s="3" t="inlineStr">
        <ns0:is>
          <ns0:t>Documentação</ns0:t>
        </ns0:is>
      </ns0:c>
      <ns0:c r="N21" s="3" t="inlineStr">
        <ns0:is>
          <ns0:t>Conciliar instruções atuais conflitantes Node/Python</ns0:t>
        </ns0:is>
      </ns0:c>
      <ns0:c r="O21" s="3" t="str">
        <ns0:f>IF(AND(COUNTIF($A$5:$A$49,"L02")=1,COUNTIF($A$5:$A$49,"D01")=1,F21&gt;MAX(SUMIF($A$5:$A$49,"L02",$G$5:$G$49),SUMIF($A$5:$A$49,"D01",$G$5:$G$49))),"OK","Rever IDs/datas")</ns0:f>
        <ns0:v>OK</ns0:v>
      </ns0:c>
    </ns0:row>
    <ns0:row r="22" ht="76" customHeight="1">
      <ns0:c r="A22" s="3" t="inlineStr">
        <ns0:is>
          <ns0:t>D04</ns0:t>
        </ns0:is>
      </ns0:c>
      <ns0:c r="B22" s="3" t="inlineStr">
        <ns0:is>
          <ns0:t>N2-INF-01 / segurança</ns0:t>
        </ns0:is>
      </ns0:c>
      <ns0:c r="C22" s="3" t="inlineStr">
        <ns0:is>
          <ns0:t>Validar RLS, acesso por professor e Storage privado</ns0:t>
        </ns0:is>
      </ns0:c>
      <ns0:c r="D22" s="3" t="inlineStr">
        <ns0:is>
          <ns0:t>Diego Rafael da Silva Dornelles</ns0:t>
        </ns0:is>
      </ns0:c>
      <ns0:c r="E22" s="3" t="n">
        <ns0:v>4</ns0:v>
      </ns0:c>
      <ns0:c r="F22" s="4" t="n">
        <ns0:v>46309</ns0:v>
      </ns0:c>
      <ns0:c r="G22" s="4" t="n">
        <ns0:v>46309</ns0:v>
      </ns0:c>
      <ns0:c r="H22" s="3" t="inlineStr">
        <ns0:is>
          <ns0:t>D03, E04</ns0:t>
        </ns0:is>
      </ns0:c>
      <ns0:c r="I22" s="3" t="inlineStr">
        <ns0:is>
          <ns0:t>P0</ns0:t>
        </ns0:is>
      </ns0:c>
      <ns0:c r="J22" s="3" t="inlineStr">
        <ns0:is>
          <ns0:t>Planejada — validar com o grupo</ns0:t>
        </ns0:is>
      </ns0:c>
      <ns0:c r="K22" s="3" t="inlineStr">
        <ns0:is>
          <ns0:t>Outro professor não acessa dados/imagens; chave de serviço só no backend; bucket privado validado</ns0:t>
        </ns0:is>
      </ns0:c>
      <ns0:c r="L22" s="3" t="inlineStr">
        <ns0:is>
          <ns0:t>RNF06; RF30</ns0:t>
        </ns0:is>
      </ns0:c>
      <ns0:c r="M22" s="3" t="inlineStr">
        <ns0:is>
          <ns0:t>Infraestrutura</ns0:t>
        </ns0:is>
      </ns0:c>
      <ns0:c r="N22" s="3" t="inlineStr">
        <ns0:is>
          <ns0:t>RLS sem policies públicas local; papel de servidor ainda precisa validação</ns0:t>
        </ns0:is>
      </ns0:c>
      <ns0:c r="O22" s="3" t="str">
        <ns0:f>IF(AND(COUNTIF($A$5:$A$49,"D03")=1,COUNTIF($A$5:$A$49,"E04")=1,F22&gt;MAX(SUMIF($A$5:$A$49,"D03",$G$5:$G$49),SUMIF($A$5:$A$49,"E04",$G$5:$G$49))),"OK","Rever IDs/datas")</ns0:f>
        <ns0:v>OK</ns0:v>
      </ns0:c>
    </ns0:row>
    <ns0:row r="23" ht="76" customHeight="1">
      <ns0:c r="A23" s="3" t="inlineStr">
        <ns0:is>
          <ns0:t>E06</ns0:t>
        </ns0:is>
      </ns0:c>
      <ns0:c r="B23" s="3" t="inlineStr">
        <ns0:is>
          <ns0:t>N2-TEST / OMR</ns0:t>
        </ns0:is>
      </ns0:c>
      <ns0:c r="C23" s="3" t="inlineStr">
        <ns0:is>
          <ns0:t>Montar conjunto de folhas de teste OMR</ns0:t>
        </ns0:is>
      </ns0:c>
      <ns0:c r="D23" s="3" t="inlineStr">
        <ns0:is>
          <ns0:t>Eloisa Fazzio da Silva Rocha</ns0:t>
        </ns0:is>
      </ns0:c>
      <ns0:c r="E23" s="3" t="n">
        <ns0:v>4</ns0:v>
      </ns0:c>
      <ns0:c r="F23" s="4" t="n">
        <ns0:v>46309</ns0:v>
      </ns0:c>
      <ns0:c r="G23" s="4" t="n">
        <ns0:v>46309</ns0:v>
      </ns0:c>
      <ns0:c r="H23" s="3" t="inlineStr">
        <ns0:is>
          <ns0:t>G06, E04</ns0:t>
        </ns0:is>
      </ns0:c>
      <ns0:c r="I23" s="3" t="inlineStr">
        <ns0:is>
          <ns0:t>P0</ns0:t>
        </ns0:is>
      </ns0:c>
      <ns0:c r="J23" s="3" t="inlineStr">
        <ns0:is>
          <ns0:t>Planejada — validar com o grupo</ns0:t>
        </ns0:is>
      </ns0:c>
      <ns0:c r="K23" s="3" t="inlineStr">
        <ns0:is>
          <ns0:t>Amostras sintéticas com branco, dupla marcação, inclinação e baixa qualidade; resultados esperados</ns0:t>
        </ns0:is>
      </ns0:c>
      <ns0:c r="L23" s="3" t="inlineStr">
        <ns0:is>
          <ns0:t>RF31–RF37</ns0:t>
        </ns0:is>
      </ns0:c>
      <ns0:c r="M23" s="3" t="inlineStr">
        <ns0:is>
          <ns0:t>Testes</ns0:t>
        </ns0:is>
      </ns0:c>
      <ns0:c r="N23" s="3" t="inlineStr">
        <ns0:is>
          <ns0:t>Sem dados pessoais reais; registrar layout e critérios de leitura</ns0:t>
        </ns0:is>
      </ns0:c>
      <ns0:c r="O23" s="3" t="str">
        <ns0:f>IF(AND(COUNTIF($A$5:$A$49,"G06")=1,COUNTIF($A$5:$A$49,"E04")=1,F23&gt;MAX(SUMIF($A$5:$A$49,"G06",$G$5:$G$49),SUMIF($A$5:$A$49,"E04",$G$5:$G$49))),"OK","Rever IDs/datas")</ns0:f>
        <ns0:v>OK</ns0:v>
      </ns0:c>
    </ns0:row>
    <ns0:row r="24" ht="76" customHeight="1">
      <ns0:c r="A24" s="3" t="inlineStr">
        <ns0:is>
          <ns0:t>L03</ns0:t>
        </ns0:is>
      </ns0:c>
      <ns0:c r="B24" s="3" t="inlineStr">
        <ns0:is>
          <ns0:t>N2-BE-03 / autenticação</ns0:t>
        </ns0:is>
      </ns0:c>
      <ns0:c r="C24" s="3" t="inlineStr">
        <ns0:is>
          <ns0:t>Integrar autenticação, professores e semestres reais</ns0:t>
        </ns0:is>
      </ns0:c>
      <ns0:c r="D24" s="3" t="inlineStr">
        <ns0:is>
          <ns0:t>Luan Eliseu</ns0:t>
        </ns0:is>
      </ns0:c>
      <ns0:c r="E24" s="3" t="n">
        <ns0:v>4</ns0:v>
      </ns0:c>
      <ns0:c r="F24" s="4" t="n">
        <ns0:v>46309</ns0:v>
      </ns0:c>
      <ns0:c r="G24" s="4" t="n">
        <ns0:v>46309</ns0:v>
      </ns0:c>
      <ns0:c r="H24" s="3" t="inlineStr">
        <ns0:is>
          <ns0:t>L02</ns0:t>
        </ns0:is>
      </ns0:c>
      <ns0:c r="I24" s="3" t="inlineStr">
        <ns0:is>
          <ns0:t>P0</ns0:t>
        </ns0:is>
      </ns0:c>
      <ns0:c r="J24" s="3" t="inlineStr">
        <ns0:is>
          <ns0:t>Planejada — validar com o grupo</ns0:t>
        </ns0:is>
      </ns0:c>
      <ns0:c r="K24" s="3" t="inlineStr">
        <ns0:is>
          <ns0:t>Login/cookie e CRUD de semestres persistem no PostgreSQL e isolam professores</ns0:t>
        </ns0:is>
      </ns0:c>
      <ns0:c r="L24" s="3" t="inlineStr">
        <ns0:is>
          <ns0:t>RF01–RF02</ns0:t>
        </ns0:is>
      </ns0:c>
      <ns0:c r="M24" s="3" t="inlineStr">
        <ns0:is>
          <ns0:t>Backend</ns0:t>
        </ns0:is>
      </ns0:c>
      <ns0:c r="N24" s="3" t="inlineStr">
        <ns0:is>
          <ns0:t>PR #42 como referência local; não reescrever se já atendido</ns0:t>
        </ns0:is>
      </ns0:c>
      <ns0:c r="O24" s="3" t="str">
        <ns0:f>IF(AND(COUNTIF($A$5:$A$49,"L02")=1,F24&gt;MAX(SUMIF($A$5:$A$49,"L02",$G$5:$G$49))),"OK","Rever IDs/datas")</ns0:f>
        <ns0:v>OK</ns0:v>
      </ns0:c>
    </ns0:row>
    <ns0:row r="25" ht="76" customHeight="1">
      <ns0:c r="A25" s="3" t="inlineStr">
        <ns0:is>
          <ns0:t>G01</ns0:t>
        </ns0:is>
      </ns0:c>
      <ns0:c r="B25" s="3" t="inlineStr">
        <ns0:is>
          <ns0:t>N2-FE-01 / login</ns0:t>
        </ns0:is>
      </ns0:c>
      <ns0:c r="C25" s="3" t="inlineStr">
        <ns0:is>
          <ns0:t>Conectar login real e tratamento da sessão</ns0:t>
        </ns0:is>
      </ns0:c>
      <ns0:c r="D25" s="3" t="inlineStr">
        <ns0:is>
          <ns0:t>Gabriel Koehler da Silva</ns0:t>
        </ns0:is>
      </ns0:c>
      <ns0:c r="E25" s="3" t="n">
        <ns0:v>4</ns0:v>
      </ns0:c>
      <ns0:c r="F25" s="4" t="n">
        <ns0:v>46310</ns0:v>
      </ns0:c>
      <ns0:c r="G25" s="4" t="n">
        <ns0:v>46310</ns0:v>
      </ns0:c>
      <ns0:c r="H25" s="3" t="inlineStr">
        <ns0:is>
          <ns0:t>L03</ns0:t>
        </ns0:is>
      </ns0:c>
      <ns0:c r="I25" s="3" t="inlineStr">
        <ns0:is>
          <ns0:t>P0</ns0:t>
        </ns0:is>
      </ns0:c>
      <ns0:c r="J25" s="3" t="inlineStr">
        <ns0:is>
          <ns0:t>Planejada — validar com o grupo</ns0:t>
        </ns0:is>
      </ns0:c>
      <ns0:c r="K25" s="3" t="inlineStr">
        <ns0:is>
          <ns0:t>Formulário usa contrato final; 401 redireciona; Google/recuperação indicam simulação ou serviço real</ns0:t>
        </ns0:is>
      </ns0:c>
      <ns0:c r="L25" s="3" t="inlineStr">
        <ns0:is>
          <ns0:t>RF01; RNF06</ns0:t>
        </ns0:is>
      </ns0:c>
      <ns0:c r="M25" s="3" t="inlineStr">
        <ns0:is>
          <ns0:t>Frontend</ns0:t>
        </ns0:is>
      </ns0:c>
      <ns0:c r="N25" s="3" t="inlineStr">
        <ns0:is>
          <ns0:t>PR #60 como referência local; autenticação Google não pode parecer integrada</ns0:t>
        </ns0:is>
      </ns0:c>
      <ns0:c r="O25" s="3" t="str">
        <ns0:f>IF(AND(COUNTIF($A$5:$A$49,"L03")=1,F25&gt;MAX(SUMIF($A$5:$A$49,"L03",$G$5:$G$49))),"OK","Rever IDs/datas")</ns0:f>
        <ns0:v>OK</ns0:v>
      </ns0:c>
    </ns0:row>
    <ns0:row r="26" ht="76" customHeight="1">
      <ns0:c r="A26" s="3" t="inlineStr">
        <ns0:is>
          <ns0:t>L04</ns0:t>
        </ns0:is>
      </ns0:c>
      <ns0:c r="B26" s="3" t="inlineStr">
        <ns0:is>
          <ns0:t>N2-BE-03 / cadastros</ns0:t>
        </ns0:is>
      </ns0:c>
      <ns0:c r="C26" s="3" t="inlineStr">
        <ns0:is>
          <ns0:t>Integrar CRUD de turmas e alunos reais</ns0:t>
        </ns0:is>
      </ns0:c>
      <ns0:c r="D26" s="3" t="inlineStr">
        <ns0:is>
          <ns0:t>Luan Eliseu</ns0:t>
        </ns0:is>
      </ns0:c>
      <ns0:c r="E26" s="3" t="n">
        <ns0:v>4</ns0:v>
      </ns0:c>
      <ns0:c r="F26" s="4" t="n">
        <ns0:v>46310</ns0:v>
      </ns0:c>
      <ns0:c r="G26" s="4" t="n">
        <ns0:v>46310</ns0:v>
      </ns0:c>
      <ns0:c r="H26" s="3" t="inlineStr">
        <ns0:is>
          <ns0:t>L03</ns0:t>
        </ns0:is>
      </ns0:c>
      <ns0:c r="I26" s="3" t="inlineStr">
        <ns0:is>
          <ns0:t>P0</ns0:t>
        </ns0:is>
      </ns0:c>
      <ns0:c r="J26" s="3" t="inlineStr">
        <ns0:is>
          <ns0:t>Planejada — validar com o grupo</ns0:t>
        </ns0:is>
      </ns0:c>
      <ns0:c r="K26" s="3" t="inlineStr">
        <ns0:is>
          <ns0:t>Vínculos, matrícula e validação de importação são persistentes e transacionais</ns0:t>
        </ns0:is>
      </ns0:c>
      <ns0:c r="L26" s="3" t="inlineStr">
        <ns0:is>
          <ns0:t>RF03–RF05</ns0:t>
        </ns0:is>
      </ns0:c>
      <ns0:c r="M26" s="3" t="inlineStr">
        <ns0:is>
          <ns0:t>Backend</ns0:t>
        </ns0:is>
      </ns0:c>
      <ns0:c r="N26" s="3" t="inlineStr">
        <ns0:is>
          <ns0:t>Conferir cadastro, duplicidade e ausência de gravação parcial</ns0:t>
        </ns0:is>
      </ns0:c>
      <ns0:c r="O26" s="3" t="str">
        <ns0:f>IF(AND(COUNTIF($A$5:$A$49,"L03")=1,F26&gt;MAX(SUMIF($A$5:$A$49,"L03",$G$5:$G$49))),"OK","Rever IDs/datas")</ns0:f>
        <ns0:v>OK</ns0:v>
      </ns0:c>
    </ns0:row>
    <ns0:row r="27" ht="76" customHeight="1">
      <ns0:c r="A27" s="3" t="inlineStr">
        <ns0:is>
          <ns0:t>D05</ns0:t>
        </ns0:is>
      </ns0:c>
      <ns0:c r="B27" s="3" t="inlineStr">
        <ns0:is>
          <ns0:t>N2-INF-03 / hospedagem</ns0:t>
        </ns0:is>
      </ns0:c>
      <ns0:c r="C27" s="3" t="inlineStr">
        <ns0:is>
          <ns0:t>Preparar build e proxy no mesmo domínio</ns0:t>
        </ns0:is>
      </ns0:c>
      <ns0:c r="D27" s="3" t="inlineStr">
        <ns0:is>
          <ns0:t>Diego Rafael da Silva Dornelles</ns0:t>
        </ns0:is>
      </ns0:c>
      <ns0:c r="E27" s="3" t="n">
        <ns0:v>4</ns0:v>
      </ns0:c>
      <ns0:c r="F27" s="4" t="n">
        <ns0:v>46311</ns0:v>
      </ns0:c>
      <ns0:c r="G27" s="4" t="n">
        <ns0:v>46311</ns0:v>
      </ns0:c>
      <ns0:c r="H27" s="3" t="inlineStr">
        <ns0:is>
          <ns0:t>G01, A05, L02</ns0:t>
        </ns0:is>
      </ns0:c>
      <ns0:c r="I27" s="3" t="inlineStr">
        <ns0:is>
          <ns0:t>P0</ns0:t>
        </ns0:is>
      </ns0:c>
      <ns0:c r="J27" s="3" t="inlineStr">
        <ns0:is>
          <ns0:t>Planejada — validar com o grupo</ns0:t>
        </ns0:is>
      </ns0:c>
      <ns0:c r="K27" s="3" t="inlineStr">
        <ns0:is>
          <ns0:t>Imagem/build funciona; frontend/API com cookie no mesmo domínio; /health útil ao provedor</ns0:t>
        </ns0:is>
      </ns0:c>
      <ns0:c r="L27" s="3" t="inlineStr">
        <ns0:is>
          <ns0:t>RNF06; N2 C2</ns0:t>
        </ns0:is>
      </ns0:c>
      <ns0:c r="M27" s="3" t="inlineStr">
        <ns0:is>
          <ns0:t>Infraestrutura</ns0:t>
        </ns0:is>
      </ns0:c>
      <ns0:c r="N27" s="3" t="inlineStr">
        <ns0:is>
          <ns0:t>Docker/Render local preparados, build e publicação pendentes</ns0:t>
        </ns0:is>
      </ns0:c>
      <ns0:c r="O27" s="3" t="str">
        <ns0:f>IF(AND(COUNTIF($A$5:$A$49,"G01")=1,COUNTIF($A$5:$A$49,"A05")=1,COUNTIF($A$5:$A$49,"L02")=1,F27&gt;MAX(SUMIF($A$5:$A$49,"G01",$G$5:$G$49),SUMIF($A$5:$A$49,"A05",$G$5:$G$49),SUMIF($A$5:$A$49,"L02",$G$5:$G$49))),"OK","Rever IDs/datas")</ns0:f>
        <ns0:v>OK</ns0:v>
      </ns0:c>
    </ns0:row>
    <ns0:row r="28" ht="76" customHeight="1">
      <ns0:c r="A28" s="3" t="inlineStr">
        <ns0:is>
          <ns0:t>G02</ns0:t>
        </ns0:is>
      </ns0:c>
      <ns0:c r="B28" s="3" t="inlineStr">
        <ns0:is>
          <ns0:t>N2-FE-01 / gestão</ns0:t>
        </ns0:is>
      </ns0:c>
      <ns0:c r="C28" s="3" t="inlineStr">
        <ns0:is>
          <ns0:t>Conectar semestres e turmas ao banco real</ns0:t>
        </ns0:is>
      </ns0:c>
      <ns0:c r="D28" s="3" t="inlineStr">
        <ns0:is>
          <ns0:t>Gabriel Koehler da Silva</ns0:t>
        </ns0:is>
      </ns0:c>
      <ns0:c r="E28" s="3" t="n">
        <ns0:v>4</ns0:v>
      </ns0:c>
      <ns0:c r="F28" s="4" t="n">
        <ns0:v>46311</ns0:v>
      </ns0:c>
      <ns0:c r="G28" s="4" t="n">
        <ns0:v>46311</ns0:v>
      </ns0:c>
      <ns0:c r="H28" s="3" t="inlineStr">
        <ns0:is>
          <ns0:t>L04, G01</ns0:t>
        </ns0:is>
      </ns0:c>
      <ns0:c r="I28" s="3" t="inlineStr">
        <ns0:is>
          <ns0:t>P0</ns0:t>
        </ns0:is>
      </ns0:c>
      <ns0:c r="J28" s="3" t="inlineStr">
        <ns0:is>
          <ns0:t>Planejada — validar com o grupo</ns0:t>
        </ns0:is>
      </ns0:c>
      <ns0:c r="K28" s="3" t="inlineStr">
        <ns0:is>
          <ns0:t>Listagem/cadastro/edição/erros funcionam com API real após reinício</ns0:t>
        </ns0:is>
      </ns0:c>
      <ns0:c r="L28" s="3" t="inlineStr">
        <ns0:is>
          <ns0:t>RF02–RF03</ns0:t>
        </ns0:is>
      </ns0:c>
      <ns0:c r="M28" s="3" t="inlineStr">
        <ns0:is>
          <ns0:t>Frontend</ns0:t>
        </ns0:is>
      </ns0:c>
      <ns0:c r="N28" s="3" t="inlineStr">
        <ns0:is>
          <ns0:t>Preservar visual AvaliaSystem</ns0:t>
        </ns0:is>
      </ns0:c>
      <ns0:c r="O28" s="3" t="str">
        <ns0:f>IF(AND(COUNTIF($A$5:$A$49,"L04")=1,COUNTIF($A$5:$A$49,"G01")=1,F28&gt;MAX(SUMIF($A$5:$A$49,"L04",$G$5:$G$49),SUMIF($A$5:$A$49,"G01",$G$5:$G$49))),"OK","Rever IDs/datas")</ns0:f>
        <ns0:v>OK</ns0:v>
      </ns0:c>
    </ns0:row>
    <ns0:row r="29" ht="76" customHeight="1">
      <ns0:c r="A29" s="3" t="inlineStr">
        <ns0:is>
          <ns0:t>L05</ns0:t>
        </ns0:is>
      </ns0:c>
      <ns0:c r="B29" s="3" t="inlineStr">
        <ns0:is>
          <ns0:t>N2-BE-03 / questões</ns0:t>
        </ns0:is>
      </ns0:c>
      <ns0:c r="C29" s="3" t="inlineStr">
        <ns0:is>
          <ns0:t>Integrar CRUD e importação de questões/alternativas</ns0:t>
        </ns0:is>
      </ns0:c>
      <ns0:c r="D29" s="3" t="inlineStr">
        <ns0:is>
          <ns0:t>Luan Eliseu</ns0:t>
        </ns0:is>
      </ns0:c>
      <ns0:c r="E29" s="3" t="n">
        <ns0:v>4</ns0:v>
      </ns0:c>
      <ns0:c r="F29" s="4" t="n">
        <ns0:v>46311</ns0:v>
      </ns0:c>
      <ns0:c r="G29" s="4" t="n">
        <ns0:v>46311</ns0:v>
      </ns0:c>
      <ns0:c r="H29" s="3" t="inlineStr">
        <ns0:is>
          <ns0:t>L04</ns0:t>
        </ns0:is>
      </ns0:c>
      <ns0:c r="I29" s="3" t="inlineStr">
        <ns0:is>
          <ns0:t>P0</ns0:t>
        </ns0:is>
      </ns0:c>
      <ns0:c r="J29" s="3" t="inlineStr">
        <ns0:is>
          <ns0:t>Planejada — validar com o grupo</ns0:t>
        </ns0:is>
      </ns0:c>
      <ns0:c r="K29" s="3" t="inlineStr">
        <ns0:is>
          <ns0:t>Alternativas e gabarito corretos persistem; questões usadas preservam snapshots</ns0:t>
        </ns0:is>
      </ns0:c>
      <ns0:c r="L29" s="3" t="inlineStr">
        <ns0:is>
          <ns0:t>RF06–RF13; RN14</ns0:t>
        </ns0:is>
      </ns0:c>
      <ns0:c r="M29" s="3" t="inlineStr">
        <ns0:is>
          <ns0:t>Backend</ns0:t>
        </ns0:is>
      </ns0:c>
      <ns0:c r="N29" s="3" t="inlineStr">
        <ns0:is>
          <ns0:t>Verificar limites e importação CSV/Excel conforme escopo acordado</ns0:t>
        </ns0:is>
      </ns0:c>
      <ns0:c r="O29" s="3" t="str">
        <ns0:f>IF(AND(COUNTIF($A$5:$A$49,"L04")=1,F29&gt;MAX(SUMIF($A$5:$A$49,"L04",$G$5:$G$49))),"OK","Rever IDs/datas")</ns0:f>
        <ns0:v>OK</ns0:v>
      </ns0:c>
    </ns0:row>
    <ns0:row r="30" ht="76" customHeight="1">
      <ns0:c r="A30" s="3" t="inlineStr">
        <ns0:is>
          <ns0:t>D06</ns0:t>
        </ns0:is>
      </ns0:c>
      <ns0:c r="B30" s="3" t="inlineStr">
        <ns0:is>
          <ns0:t>N2-INF-03 / ambiente</ns0:t>
        </ns0:is>
      </ns0:c>
      <ns0:c r="C30" s="3" t="inlineStr">
        <ns0:is>
          <ns0:t>Configurar variáveis e verificar segredos de produção</ns0:t>
        </ns0:is>
      </ns0:c>
      <ns0:c r="D30" s="3" t="inlineStr">
        <ns0:is>
          <ns0:t>Diego Rafael da Silva Dornelles</ns0:t>
        </ns0:is>
      </ns0:c>
      <ns0:c r="E30" s="3" t="n">
        <ns0:v>4</ns0:v>
      </ns0:c>
      <ns0:c r="F30" s="4" t="n">
        <ns0:v>46314</ns0:v>
      </ns0:c>
      <ns0:c r="G30" s="4" t="n">
        <ns0:v>46314</ns0:v>
      </ns0:c>
      <ns0:c r="H30" s="3" t="inlineStr">
        <ns0:is>
          <ns0:t>D05, D04</ns0:t>
        </ns0:is>
      </ns0:c>
      <ns0:c r="I30" s="3" t="inlineStr">
        <ns0:is>
          <ns0:t>P0</ns0:t>
        </ns0:is>
      </ns0:c>
      <ns0:c r="J30" s="3" t="inlineStr">
        <ns0:is>
          <ns0:t>Planejada — validar com o grupo</ns0:t>
        </ns0:is>
      </ns0:c>
      <ns0:c r="K30" s="3" t="inlineStr">
        <ns0:is>
          <ns0:t>Chaves no provedor, HTTPS/cookie corretos; URL e versão documentadas; segredos ausentes do ZIP</ns0:t>
        </ns0:is>
      </ns0:c>
      <ns0:c r="L30" s="3" t="inlineStr">
        <ns0:is>
          <ns0:t>RNF06; N2 C2</ns0:t>
        </ns0:is>
      </ns0:c>
      <ns0:c r="M30" s="3" t="inlineStr">
        <ns0:is>
          <ns0:t>Infraestrutura</ns0:t>
        </ns0:is>
      </ns0:c>
      <ns0:c r="N30" s="3" t="inlineStr">
        <ns0:is>
          <ns0:t>Execução externa futura depende de autorização; agora só planejamento</ns0:t>
        </ns0:is>
      </ns0:c>
      <ns0:c r="O30" s="3" t="str">
        <ns0:f>IF(AND(COUNTIF($A$5:$A$49,"D05")=1,COUNTIF($A$5:$A$49,"D04")=1,F30&gt;MAX(SUMIF($A$5:$A$49,"D05",$G$5:$G$49),SUMIF($A$5:$A$49,"D04",$G$5:$G$49))),"OK","Rever IDs/datas")</ns0:f>
        <ns0:v>OK</ns0:v>
      </ns0:c>
    </ns0:row>
    <ns0:row r="31" ht="76" customHeight="1">
      <ns0:c r="A31" s="3" t="inlineStr">
        <ns0:is>
          <ns0:t>G03</ns0:t>
        </ns0:is>
      </ns0:c>
      <ns0:c r="B31" s="3" t="inlineStr">
        <ns0:is>
          <ns0:t>N2-FE / alunos</ns0:t>
        </ns0:is>
      </ns0:c>
      <ns0:c r="C31" s="3" t="inlineStr">
        <ns0:is>
          <ns0:t>Conectar alunos e importação com confirmação</ns0:t>
        </ns0:is>
      </ns0:c>
      <ns0:c r="D31" s="3" t="inlineStr">
        <ns0:is>
          <ns0:t>Gabriel Koehler da Silva</ns0:t>
        </ns0:is>
      </ns0:c>
      <ns0:c r="E31" s="3" t="n">
        <ns0:v>4</ns0:v>
      </ns0:c>
      <ns0:c r="F31" s="4" t="n">
        <ns0:v>46314</ns0:v>
      </ns0:c>
      <ns0:c r="G31" s="4" t="n">
        <ns0:v>46314</ns0:v>
      </ns0:c>
      <ns0:c r="H31" s="3" t="inlineStr">
        <ns0:is>
          <ns0:t>L04, G02</ns0:t>
        </ns0:is>
      </ns0:c>
      <ns0:c r="I31" s="3" t="inlineStr">
        <ns0:is>
          <ns0:t>P1</ns0:t>
        </ns0:is>
      </ns0:c>
      <ns0:c r="J31" s="3" t="inlineStr">
        <ns0:is>
          <ns0:t>Planejada — validar com o grupo</ns0:t>
        </ns0:is>
      </ns0:c>
      <ns0:c r="K31" s="3" t="inlineStr">
        <ns0:is>
          <ns0:t>Prévia mostra erros; confirmação revalida lote; zeros na matrícula preservados</ns0:t>
        </ns0:is>
      </ns0:c>
      <ns0:c r="L31" s="3" t="inlineStr">
        <ns0:is>
          <ns0:t>RF04–RF05</ns0:t>
        </ns0:is>
      </ns0:c>
      <ns0:c r="M31" s="3" t="inlineStr">
        <ns0:is>
          <ns0:t>Frontend</ns0:t>
        </ns0:is>
      </ns0:c>
      <ns0:c r="N31" s="3" t="inlineStr">
        <ns0:is>
          <ns0:t>CSV existente; validar decisão sobre XLSX sem prometer suporte inexistente</ns0:t>
        </ns0:is>
      </ns0:c>
      <ns0:c r="O31" s="3" t="str">
        <ns0:f>IF(AND(COUNTIF($A$5:$A$49,"L04")=1,COUNTIF($A$5:$A$49,"G02")=1,F31&gt;MAX(SUMIF($A$5:$A$49,"L04",$G$5:$G$49),SUMIF($A$5:$A$49,"G02",$G$5:$G$49))),"OK","Rever IDs/datas")</ns0:f>
        <ns0:v>OK</ns0:v>
      </ns0:c>
    </ns0:row>
    <ns0:row r="32" ht="76" customHeight="1">
      <ns0:c r="A32" s="3" t="inlineStr">
        <ns0:is>
          <ns0:t>L06</ns0:t>
        </ns0:is>
      </ns0:c>
      <ns0:c r="B32" s="3" t="inlineStr">
        <ns0:is>
          <ns0:t>N2-BE-04</ns0:t>
        </ns0:is>
      </ns0:c>
      <ns0:c r="C32" s="3" t="inlineStr">
        <ns0:is>
          <ns0:t>Integrar gravação atômica de avaliações e versões</ns0:t>
        </ns0:is>
      </ns0:c>
      <ns0:c r="D32" s="3" t="inlineStr">
        <ns0:is>
          <ns0:t>Luan Eliseu</ns0:t>
        </ns0:is>
      </ns0:c>
      <ns0:c r="E32" s="3" t="n">
        <ns0:v>6</ns0:v>
      </ns0:c>
      <ns0:c r="F32" s="4" t="n">
        <ns0:v>46314</ns0:v>
      </ns0:c>
      <ns0:c r="G32" s="4" t="n">
        <ns0:v>46315</ns0:v>
      </ns0:c>
      <ns0:c r="H32" s="3" t="inlineStr">
        <ns0:is>
          <ns0:t>L05</ns0:t>
        </ns0:is>
      </ns0:c>
      <ns0:c r="I32" s="3" t="inlineStr">
        <ns0:is>
          <ns0:t>P0</ns0:t>
        </ns0:is>
      </ns0:c>
      <ns0:c r="J32" s="3" t="inlineStr">
        <ns0:is>
          <ns0:t>Planejada — validar com o grupo</ns0:t>
        </ns0:is>
      </ns0:c>
      <ns0:c r="K32" s="3" t="inlineStr">
        <ns0:is>
          <ns0:t>Avaliação/versões/gabaritos/snapshots gravam tudo ou nada; edição posterior não altera prova</ns0:t>
        </ns0:is>
      </ns0:c>
      <ns0:c r="L32" s="3" t="inlineStr">
        <ns0:is>
          <ns0:t>RF14–RF25; RN14</ns0:t>
        </ns0:is>
      </ns0:c>
      <ns0:c r="M32" s="3" t="inlineStr">
        <ns0:is>
          <ns0:t>Backend</ns0:t>
        </ns0:is>
      </ns0:c>
      <ns0:c r="N32" s="3" t="inlineStr">
        <ns0:is>
          <ns0:t>PR #43 como referência; testar rollback e posições embaralhadas</ns0:t>
        </ns0:is>
      </ns0:c>
      <ns0:c r="O32" s="3" t="str">
        <ns0:f>IF(AND(COUNTIF($A$5:$A$49,"L05")=1,F32&gt;MAX(SUMIF($A$5:$A$49,"L05",$G$5:$G$49))),"OK","Rever IDs/datas")</ns0:f>
        <ns0:v>OK</ns0:v>
      </ns0:c>
    </ns0:row>
    <ns0:row r="33" ht="76" customHeight="1">
      <ns0:c r="A33" s="3" t="inlineStr">
        <ns0:is>
          <ns0:t>G04</ns0:t>
        </ns0:is>
      </ns0:c>
      <ns0:c r="B33" s="3" t="inlineStr">
        <ns0:is>
          <ns0:t>N2-FE-02</ns0:t>
        </ns0:is>
      </ns0:c>
      <ns0:c r="C33" s="3" t="inlineStr">
        <ns0:is>
          <ns0:t>Conectar questões, filtros e importação à API real</ns0:t>
        </ns0:is>
      </ns0:c>
      <ns0:c r="D33" s="3" t="inlineStr">
        <ns0:is>
          <ns0:t>Gabriel Koehler da Silva</ns0:t>
        </ns0:is>
      </ns0:c>
      <ns0:c r="E33" s="3" t="n">
        <ns0:v>5</ns0:v>
      </ns0:c>
      <ns0:c r="F33" s="4" t="n">
        <ns0:v>46315</ns0:v>
      </ns0:c>
      <ns0:c r="G33" s="4" t="n">
        <ns0:v>46316</ns0:v>
      </ns0:c>
      <ns0:c r="H33" s="3" t="inlineStr">
        <ns0:is>
          <ns0:t>L05, G03</ns0:t>
        </ns0:is>
      </ns0:c>
      <ns0:c r="I33" s="3" t="inlineStr">
        <ns0:is>
          <ns0:t>P0</ns0:t>
        </ns0:is>
      </ns0:c>
      <ns0:c r="J33" s="3" t="inlineStr">
        <ns0:is>
          <ns0:t>Planejada — validar com o grupo</ns0:t>
        </ns0:is>
      </ns0:c>
      <ns0:c r="K33" s="3" t="inlineStr">
        <ns0:is>
          <ns0:t>CRUD/importação/filtros usam dados persistidos e retornam feedback correto</ns0:t>
        </ns0:is>
      </ns0:c>
      <ns0:c r="L33" s="3" t="inlineStr">
        <ns0:is>
          <ns0:t>RF06–RF13</ns0:t>
        </ns0:is>
      </ns0:c>
      <ns0:c r="M33" s="3" t="inlineStr">
        <ns0:is>
          <ns0:t>Frontend</ns0:t>
        </ns0:is>
      </ns0:c>
      <ns0:c r="N33" s="3" t="inlineStr">
        <ns0:is>
          <ns0:t>Remover dependência de estado mock no fluxo entregue</ns0:t>
        </ns0:is>
      </ns0:c>
      <ns0:c r="O33" s="3" t="str">
        <ns0:f>IF(AND(COUNTIF($A$5:$A$49,"L05")=1,COUNTIF($A$5:$A$49,"G03")=1,F33&gt;MAX(SUMIF($A$5:$A$49,"L05",$G$5:$G$49),SUMIF($A$5:$A$49,"G03",$G$5:$G$49))),"OK","Rever IDs/datas")</ns0:f>
        <ns0:v>OK</ns0:v>
      </ns0:c>
    </ns0:row>
    <ns0:row r="34" ht="76" customHeight="1">
      <ns0:c r="A34" s="3" t="inlineStr">
        <ns0:is>
          <ns0:t>L07</ns0:t>
        </ns0:is>
      </ns0:c>
      <ns0:c r="B34" s="3" t="inlineStr">
        <ns0:is>
          <ns0:t>N2-BE-05</ns0:t>
        </ns0:is>
      </ns0:c>
      <ns0:c r="C34" s="3" t="inlineStr">
        <ns0:is>
          <ns0:t>Integrar leitura QR, alinhamento e marcações OMR</ns0:t>
        </ns0:is>
      </ns0:c>
      <ns0:c r="D34" s="3" t="inlineStr">
        <ns0:is>
          <ns0:t>Luan Eliseu</ns0:t>
        </ns0:is>
      </ns0:c>
      <ns0:c r="E34" s="3" t="n">
        <ns0:v>6</ns0:v>
      </ns0:c>
      <ns0:c r="F34" s="4" t="n">
        <ns0:v>46316</ns0:v>
      </ns0:c>
      <ns0:c r="G34" s="4" t="n">
        <ns0:v>46317</ns0:v>
      </ns0:c>
      <ns0:c r="H34" s="3" t="inlineStr">
        <ns0:is>
          <ns0:t>L06, G06, E06</ns0:t>
        </ns0:is>
      </ns0:c>
      <ns0:c r="I34" s="3" t="inlineStr">
        <ns0:is>
          <ns0:t>P0</ns0:t>
        </ns0:is>
      </ns0:c>
      <ns0:c r="J34" s="3" t="inlineStr">
        <ns0:is>
          <ns0:t>Planejada — validar com o grupo</ns0:t>
        </ns0:is>
      </ns0:c>
      <ns0:c r="K34" s="3" t="inlineStr">
        <ns0:is>
          <ns0:t>QR identifica versão; perspectiva alinhada; respostas/brancos/múltiplas marcações classificadas</ns0:t>
        </ns0:is>
      </ns0:c>
      <ns0:c r="L34" s="3" t="inlineStr">
        <ns0:is>
          <ns0:t>RF31–RF37; RF40</ns0:t>
        </ns0:is>
      </ns0:c>
      <ns0:c r="M34" s="3" t="inlineStr">
        <ns0:is>
          <ns0:t>Backend</ns0:t>
        </ns0:is>
      </ns0:c>
      <ns0:c r="N34" s="3" t="inlineStr">
        <ns0:is>
          <ns0:t>PR #44 como referência; corrigir instabilidade observada no teste QR</ns0:t>
        </ns0:is>
      </ns0:c>
      <ns0:c r="O34" s="3" t="str">
        <ns0:f>IF(AND(COUNTIF($A$5:$A$49,"L06")=1,COUNTIF($A$5:$A$49,"G06")=1,COUNTIF($A$5:$A$49,"E06")=1,F34&gt;MAX(SUMIF($A$5:$A$49,"L06",$G$5:$G$49),SUMIF($A$5:$A$49,"G06",$G$5:$G$49),SUMIF($A$5:$A$49,"E06",$G$5:$G$49))),"OK","Rever IDs/datas")</ns0:f>
        <ns0:v>OK</ns0:v>
      </ns0:c>
    </ns0:row>
    <ns0:row r="35" ht="76" customHeight="1">
      <ns0:c r="A35" s="3" t="inlineStr">
        <ns0:is>
          <ns0:t>E05</ns0:t>
        </ns0:is>
      </ns0:c>
      <ns0:c r="B35" s="3" t="inlineStr">
        <ns0:is>
          <ns0:t>N2-TEST / integração CRUD</ns0:t>
        </ns0:is>
      </ns0:c>
      <ns0:c r="C35" s="3" t="inlineStr">
        <ns0:is>
          <ns0:t>Testar importações, persistência e isolamento</ns0:t>
        </ns0:is>
      </ns0:c>
      <ns0:c r="D35" s="3" t="inlineStr">
        <ns0:is>
          <ns0:t>Eloisa Fazzio da Silva Rocha</ns0:t>
        </ns0:is>
      </ns0:c>
      <ns0:c r="E35" s="3" t="n">
        <ns0:v>4</ns0:v>
      </ns0:c>
      <ns0:c r="F35" s="4" t="n">
        <ns0:v>46317</ns0:v>
      </ns0:c>
      <ns0:c r="G35" s="4" t="n">
        <ns0:v>46317</ns0:v>
      </ns0:c>
      <ns0:c r="H35" s="3" t="inlineStr">
        <ns0:is>
          <ns0:t>G03, G04, D04</ns0:t>
        </ns0:is>
      </ns0:c>
      <ns0:c r="I35" s="3" t="inlineStr">
        <ns0:is>
          <ns0:t>P0</ns0:t>
        </ns0:is>
      </ns0:c>
      <ns0:c r="J35" s="3" t="inlineStr">
        <ns0:is>
          <ns0:t>Planejada — validar com o grupo</ns0:t>
        </ns0:is>
      </ns0:c>
      <ns0:c r="K35" s="3" t="inlineStr">
        <ns0:is>
          <ns0:t>Casos positivos/negativos registrados; reinício conserva dados; dois professores isolados</ns0:t>
        </ns0:is>
      </ns0:c>
      <ns0:c r="L35" s="3" t="inlineStr">
        <ns0:is>
          <ns0:t>RF01–RF13; RNF06</ns0:t>
        </ns0:is>
      </ns0:c>
      <ns0:c r="M35" s="3" t="inlineStr">
        <ns0:is>
          <ns0:t>Testes</ns0:t>
        </ns0:is>
      </ns0:c>
      <ns0:c r="N35" s="3" t="inlineStr">
        <ns0:is>
          <ns0:t>Testar a aplicação integrada, não só repositories isolados</ns0:t>
        </ns0:is>
      </ns0:c>
      <ns0:c r="O35" s="3" t="str">
        <ns0:f>IF(AND(COUNTIF($A$5:$A$49,"G03")=1,COUNTIF($A$5:$A$49,"G04")=1,COUNTIF($A$5:$A$49,"D04")=1,F35&gt;MAX(SUMIF($A$5:$A$49,"G03",$G$5:$G$49),SUMIF($A$5:$A$49,"G04",$G$5:$G$49),SUMIF($A$5:$A$49,"D04",$G$5:$G$49))),"OK","Rever IDs/datas")</ns0:f>
        <ns0:v>OK</ns0:v>
      </ns0:c>
    </ns0:row>
    <ns0:row r="36" ht="76" customHeight="1">
      <ns0:c r="A36" s="3" t="inlineStr">
        <ns0:is>
          <ns0:t>G05</ns0:t>
        </ns0:is>
      </ns0:c>
      <ns0:c r="B36" s="3" t="inlineStr">
        <ns0:is>
          <ns0:t>N2-FE-03</ns0:t>
        </ns0:is>
      </ns0:c>
      <ns0:c r="C36" s="3" t="inlineStr">
        <ns0:is>
          <ns0:t>Conectar assistente, versões e liberação do gabarito</ns0:t>
        </ns0:is>
      </ns0:c>
      <ns0:c r="D36" s="3" t="inlineStr">
        <ns0:is>
          <ns0:t>Gabriel Koehler da Silva</ns0:t>
        </ns0:is>
      </ns0:c>
      <ns0:c r="E36" s="3" t="n">
        <ns0:v>5</ns0:v>
      </ns0:c>
      <ns0:c r="F36" s="4" t="n">
        <ns0:v>46317</ns0:v>
      </ns0:c>
      <ns0:c r="G36" s="4" t="n">
        <ns0:v>46318</ns0:v>
      </ns0:c>
      <ns0:c r="H36" s="3" t="inlineStr">
        <ns0:is>
          <ns0:t>L06, G04</ns0:t>
        </ns0:is>
      </ns0:c>
      <ns0:c r="I36" s="3" t="inlineStr">
        <ns0:is>
          <ns0:t>P0</ns0:t>
        </ns0:is>
      </ns0:c>
      <ns0:c r="J36" s="3" t="inlineStr">
        <ns0:is>
          <ns0:t>Planejada — validar com o grupo</ns0:t>
        </ns0:is>
      </ns0:c>
      <ns0:c r="K36" s="3" t="inlineStr">
        <ns0:is>
          <ns0:t>Quatro passos enviam contrato final; versões persistem; liberação/revogação funciona</ns0:t>
        </ns0:is>
      </ns0:c>
      <ns0:c r="L36" s="3" t="inlineStr">
        <ns0:is>
          <ns0:t>RF14–RF30</ns0:t>
        </ns0:is>
      </ns0:c>
      <ns0:c r="M36" s="3" t="inlineStr">
        <ns0:is>
          <ns0:t>Frontend</ns0:t>
        </ns0:is>
      </ns0:c>
      <ns0:c r="N36" s="3" t="inlineStr">
        <ns0:is>
          <ns0:t>Confirmar configuração suportada e seleção por IDs</ns0:t>
        </ns0:is>
      </ns0:c>
      <ns0:c r="O36" s="3" t="str">
        <ns0:f>IF(AND(COUNTIF($A$5:$A$49,"L06")=1,COUNTIF($A$5:$A$49,"G04")=1,F36&gt;MAX(SUMIF($A$5:$A$49,"L06",$G$5:$G$49),SUMIF($A$5:$A$49,"G04",$G$5:$G$49))),"OK","Rever IDs/datas")</ns0:f>
        <ns0:v>OK</ns0:v>
      </ns0:c>
    </ns0:row>
    <ns0:row r="37" ht="76" customHeight="1">
      <ns0:c r="A37" s="3" t="inlineStr">
        <ns0:is>
          <ns0:t>L08</ns0:t>
        </ns0:is>
      </ns0:c>
      <ns0:c r="B37" s="3" t="inlineStr">
        <ns0:is>
          <ns0:t>N2-BE-06 / correção</ns0:t>
        </ns0:is>
      </ns0:c>
      <ns0:c r="C37" s="3" t="inlineStr">
        <ns0:is>
          <ns0:t>Integrar cálculo de nota e resultado persistente</ns0:t>
        </ns0:is>
      </ns0:c>
      <ns0:c r="D37" s="3" t="inlineStr">
        <ns0:is>
          <ns0:t>Luan Eliseu</ns0:t>
        </ns0:is>
      </ns0:c>
      <ns0:c r="E37" s="3" t="n">
        <ns0:v>4</ns0:v>
      </ns0:c>
      <ns0:c r="F37" s="4" t="n">
        <ns0:v>46318</ns0:v>
      </ns0:c>
      <ns0:c r="G37" s="4" t="n">
        <ns0:v>46318</ns0:v>
      </ns0:c>
      <ns0:c r="H37" s="3" t="inlineStr">
        <ns0:is>
          <ns0:t>L07, D04</ns0:t>
        </ns0:is>
      </ns0:c>
      <ns0:c r="I37" s="3" t="inlineStr">
        <ns0:is>
          <ns0:t>P0</ns0:t>
        </ns0:is>
      </ns0:c>
      <ns0:c r="J37" s="3" t="inlineStr">
        <ns0:is>
          <ns0:t>Planejada — validar com o grupo</ns0:t>
        </ns0:is>
      </ns0:c>
      <ns0:c r="K37" s="3" t="inlineStr">
        <ns0:is>
          <ns0:t>Nota usa regra acordada; branco/múltipla marcação tratados; gravação e compensação de imagem testadas</ns0:t>
        </ns0:is>
      </ns0:c>
      <ns0:c r="L37" s="3" t="inlineStr">
        <ns0:is>
          <ns0:t>RF38–RF43</ns0:t>
        </ns0:is>
      </ns0:c>
      <ns0:c r="M37" s="3" t="inlineStr">
        <ns0:is>
          <ns0:t>Backend</ns0:t>
        </ns0:is>
      </ns0:c>
      <ns0:c r="N37" s="3" t="inlineStr">
        <ns0:is>
          <ns0:t>PR #45 como referência; não considerar Storage e SQL uma transação única</ns0:t>
        </ns0:is>
      </ns0:c>
      <ns0:c r="O37" s="3" t="str">
        <ns0:f>IF(AND(COUNTIF($A$5:$A$49,"L07")=1,COUNTIF($A$5:$A$49,"D04")=1,F37&gt;MAX(SUMIF($A$5:$A$49,"L07",$G$5:$G$49),SUMIF($A$5:$A$49,"D04",$G$5:$G$49))),"OK","Rever IDs/datas")</ns0:f>
        <ns0:v>OK</ns0:v>
      </ns0:c>
    </ns0:row>
    <ns0:row r="38" ht="76" customHeight="1">
      <ns0:c r="A38" s="3" t="inlineStr">
        <ns0:is>
          <ns0:t>E07</ns0:t>
        </ns0:is>
      </ns0:c>
      <ns0:c r="B38" s="3" t="inlineStr">
        <ns0:is>
          <ns0:t>N2-TEST / aluno QR</ns0:t>
        </ns0:is>
      </ns0:c>
      <ns0:c r="C38" s="3" t="inlineStr">
        <ns0:is>
          <ns0:t>Testar liberação do gabarito e estabilidade QR</ns0:t>
        </ns0:is>
      </ns0:c>
      <ns0:c r="D38" s="3" t="inlineStr">
        <ns0:is>
          <ns0:t>Eloisa Fazzio da Silva Rocha</ns0:t>
        </ns0:is>
      </ns0:c>
      <ns0:c r="E38" s="3" t="n">
        <ns0:v>4</ns0:v>
      </ns0:c>
      <ns0:c r="F38" s="4" t="n">
        <ns0:v>46321</ns0:v>
      </ns0:c>
      <ns0:c r="G38" s="4" t="n">
        <ns0:v>46321</ns0:v>
      </ns0:c>
      <ns0:c r="H38" s="3" t="inlineStr">
        <ns0:is>
          <ns0:t>G05, L06</ns0:t>
        </ns0:is>
      </ns0:c>
      <ns0:c r="I38" s="3" t="inlineStr">
        <ns0:is>
          <ns0:t>P0</ns0:t>
        </ns0:is>
      </ns0:c>
      <ns0:c r="J38" s="3" t="inlineStr">
        <ns0:is>
          <ns0:t>Planejada — validar com o grupo</ns0:t>
        </ns0:is>
      </ns0:c>
      <ns0:c r="K38" s="3" t="inlineStr">
        <ns0:is>
          <ns0:t>Antes da liberação bloqueia; depois mostra só alternativas; token inválido/revogado e QR variados testados</ns0:t>
        </ns0:is>
      </ns0:c>
      <ns0:c r="L38" s="3" t="inlineStr">
        <ns0:is>
          <ns0:t>RF29–RF30; RN03–RN05</ns0:t>
        </ns0:is>
      </ns0:c>
      <ns0:c r="M38" s="3" t="inlineStr">
        <ns0:is>
          <ns0:t>Testes</ns0:t>
        </ns0:is>
      </ns0:c>
      <ns0:c r="N38" s="3" t="inlineStr">
        <ns0:is>
          <ns0:t>Falha intermitente QR registrada em VALIDACAO_LOCAL.md</ns0:t>
        </ns0:is>
      </ns0:c>
      <ns0:c r="O38" s="3" t="str">
        <ns0:f>IF(AND(COUNTIF($A$5:$A$49,"G05")=1,COUNTIF($A$5:$A$49,"L06")=1,F38&gt;MAX(SUMIF($A$5:$A$49,"G05",$G$5:$G$49),SUMIF($A$5:$A$49,"L06",$G$5:$G$49))),"OK","Rever IDs/datas")</ns0:f>
        <ns0:v>OK</ns0:v>
      </ns0:c>
    </ns0:row>
    <ns0:row r="39" ht="76" customHeight="1">
      <ns0:c r="A39" s="3" t="inlineStr">
        <ns0:is>
          <ns0:t>G07</ns0:t>
        </ns0:is>
      </ns0:c>
      <ns0:c r="B39" s="3" t="inlineStr">
        <ns0:is>
          <ns0:t>N2-FE-04 / correção</ns0:t>
        </ns0:is>
      </ns0:c>
      <ns0:c r="C39" s="3" t="inlineStr">
        <ns0:is>
          <ns0:t>Conectar upload e feedback da correção real</ns0:t>
        </ns0:is>
      </ns0:c>
      <ns0:c r="D39" s="3" t="inlineStr">
        <ns0:is>
          <ns0:t>Gabriel Koehler da Silva</ns0:t>
        </ns0:is>
      </ns0:c>
      <ns0:c r="E39" s="3" t="n">
        <ns0:v>4</ns0:v>
      </ns0:c>
      <ns0:c r="F39" s="4" t="n">
        <ns0:v>46321</ns0:v>
      </ns0:c>
      <ns0:c r="G39" s="4" t="n">
        <ns0:v>46321</ns0:v>
      </ns0:c>
      <ns0:c r="H39" s="3" t="inlineStr">
        <ns0:is>
          <ns0:t>G05, L08</ns0:t>
        </ns0:is>
      </ns0:c>
      <ns0:c r="I39" s="3" t="inlineStr">
        <ns0:is>
          <ns0:t>P0</ns0:t>
        </ns0:is>
      </ns0:c>
      <ns0:c r="J39" s="3" t="inlineStr">
        <ns0:is>
          <ns0:t>Planejada — validar com o grupo</ns0:t>
        </ns0:is>
      </ns0:c>
      <ns0:c r="K39" s="3" t="inlineStr">
        <ns0:is>
          <ns0:t>Upload multipart mostra leitura/erros/nota; nova imagem disponível quando leitura falha</ns0:t>
        </ns0:is>
      </ns0:c>
      <ns0:c r="L39" s="3" t="inlineStr">
        <ns0:is>
          <ns0:t>RF31; RF38–RF43</ns0:t>
        </ns0:is>
      </ns0:c>
      <ns0:c r="M39" s="3" t="inlineStr">
        <ns0:is>
          <ns0:t>Frontend</ns0:t>
        </ns0:is>
      </ns0:c>
      <ns0:c r="N39" s="3" t="inlineStr">
        <ns0:is>
          <ns0:t>Estados de carregamento, falha e sucesso explícitos</ns0:t>
        </ns0:is>
      </ns0:c>
      <ns0:c r="O39" s="3" t="str">
        <ns0:f>IF(AND(COUNTIF($A$5:$A$49,"G05")=1,COUNTIF($A$5:$A$49,"L08")=1,F39&gt;MAX(SUMIF($A$5:$A$49,"G05",$G$5:$G$49),SUMIF($A$5:$A$49,"L08",$G$5:$G$49))),"OK","Rever IDs/datas")</ns0:f>
        <ns0:v>OK</ns0:v>
      </ns0:c>
    </ns0:row>
    <ns0:row r="40" ht="76" customHeight="1">
      <ns0:c r="A40" s="3" t="inlineStr">
        <ns0:is>
          <ns0:t>L09</ns0:t>
        </ns0:is>
      </ns0:c>
      <ns0:c r="B40" s="3" t="inlineStr">
        <ns0:is>
          <ns0:t>N2-BE-06 / Excel</ns0:t>
        </ns0:is>
      </ns0:c>
      <ns0:c r="C40" s="3" t="inlineStr">
        <ns0:is>
          <ns0:t>Implementar/verificar exportação de notas XLSX</ns0:t>
        </ns0:is>
      </ns0:c>
      <ns0:c r="D40" s="3" t="inlineStr">
        <ns0:is>
          <ns0:t>Luan Eliseu</ns0:t>
        </ns0:is>
      </ns0:c>
      <ns0:c r="E40" s="3" t="n">
        <ns0:v>3</ns0:v>
      </ns0:c>
      <ns0:c r="F40" s="4" t="n">
        <ns0:v>46321</ns0:v>
      </ns0:c>
      <ns0:c r="G40" s="4" t="n">
        <ns0:v>46321</ns0:v>
      </ns0:c>
      <ns0:c r="H40" s="3" t="inlineStr">
        <ns0:is>
          <ns0:t>L08</ns0:t>
        </ns0:is>
      </ns0:c>
      <ns0:c r="I40" s="3" t="inlineStr">
        <ns0:is>
          <ns0:t>P1</ns0:t>
        </ns0:is>
      </ns0:c>
      <ns0:c r="J40" s="3" t="inlineStr">
        <ns0:is>
          <ns0:t>Planejada — validar com o grupo</ns0:t>
        </ns0:is>
      </ns0:c>
      <ns0:c r="K40" s="3" t="inlineStr">
        <ns0:is>
          <ns0:t>Arquivo abre em Excel, contém turma/aluno/versão/nota e respeita autorização/filtros</ns0:t>
        </ns0:is>
      </ns0:c>
      <ns0:c r="L40" s="3" t="inlineStr">
        <ns0:is>
          <ns0:t>RF47–RF48</ns0:t>
        </ns0:is>
      </ns0:c>
      <ns0:c r="M40" s="3" t="inlineStr">
        <ns0:is>
          <ns0:t>Backend</ns0:t>
        </ns0:is>
      </ns0:c>
      <ns0:c r="N40" s="3" t="inlineStr">
        <ns0:is>
          <ns0:t>Exportação real distinta do CSV ou botão simulado</ns0:t>
        </ns0:is>
      </ns0:c>
      <ns0:c r="O40" s="3" t="str">
        <ns0:f>IF(AND(COUNTIF($A$5:$A$49,"L08")=1,F40&gt;MAX(SUMIF($A$5:$A$49,"L08",$G$5:$G$49))),"OK","Rever IDs/datas")</ns0:f>
        <ns0:v>OK</ns0:v>
      </ns0:c>
    </ns0:row>
    <ns0:row r="41" ht="76" customHeight="1">
      <ns0:c r="A41" s="3" t="inlineStr">
        <ns0:is>
          <ns0:t>E08</ns0:t>
        </ns0:is>
      </ns0:c>
      <ns0:c r="B41" s="3" t="inlineStr">
        <ns0:is>
          <ns0:t>N2-TEST / correção</ns0:t>
        </ns0:is>
      </ns0:c>
      <ns0:c r="C41" s="3" t="inlineStr">
        <ns0:is>
          <ns0:t>Validar OMR, nota e falhas de persistência</ns0:t>
        </ns0:is>
      </ns0:c>
      <ns0:c r="D41" s="3" t="inlineStr">
        <ns0:is>
          <ns0:t>Eloisa Fazzio da Silva Rocha</ns0:t>
        </ns0:is>
      </ns0:c>
      <ns0:c r="E41" s="3" t="n">
        <ns0:v>4</ns0:v>
      </ns0:c>
      <ns0:c r="F41" s="4" t="n">
        <ns0:v>46322</ns0:v>
      </ns0:c>
      <ns0:c r="G41" s="4" t="n">
        <ns0:v>46322</ns0:v>
      </ns0:c>
      <ns0:c r="H41" s="3" t="inlineStr">
        <ns0:is>
          <ns0:t>G07, L08, D04</ns0:t>
        </ns0:is>
      </ns0:c>
      <ns0:c r="I41" s="3" t="inlineStr">
        <ns0:is>
          <ns0:t>P0</ns0:t>
        </ns0:is>
      </ns0:c>
      <ns0:c r="J41" s="3" t="inlineStr">
        <ns0:is>
          <ns0:t>Planejada — validar com o grupo</ns0:t>
        </ns0:is>
      </ns0:c>
      <ns0:c r="K41" s="3" t="inlineStr">
        <ns0:is>
          <ns0:t>Dataset passa; falha de leitura não cria resultado; SQL/Storage com erro não exibem sucesso</ns0:t>
        </ns0:is>
      </ns0:c>
      <ns0:c r="L41" s="3" t="inlineStr">
        <ns0:is>
          <ns0:t>RF31–RF43</ns0:t>
        </ns0:is>
      </ns0:c>
      <ns0:c r="M41" s="3" t="inlineStr">
        <ns0:is>
          <ns0:t>Testes</ns0:t>
        </ns0:is>
      </ns0:c>
      <ns0:c r="N41" s="3" t="inlineStr">
        <ns0:is>
          <ns0:t>Compensação de imagem e nova correção sem duplicar resultado</ns0:t>
        </ns0:is>
      </ns0:c>
      <ns0:c r="O41" s="3" t="str">
        <ns0:f>IF(AND(COUNTIF($A$5:$A$49,"G07")=1,COUNTIF($A$5:$A$49,"L08")=1,COUNTIF($A$5:$A$49,"D04")=1,F41&gt;MAX(SUMIF($A$5:$A$49,"G07",$G$5:$G$49),SUMIF($A$5:$A$49,"L08",$G$5:$G$49),SUMIF($A$5:$A$49,"D04",$G$5:$G$49))),"OK","Rever IDs/datas")</ns0:f>
        <ns0:v>OK</ns0:v>
      </ns0:c>
    </ns0:row>
    <ns0:row r="42" ht="76" customHeight="1">
      <ns0:c r="A42" s="3" t="inlineStr">
        <ns0:is>
          <ns0:t>G08</ns0:t>
        </ns0:is>
      </ns0:c>
      <ns0:c r="B42" s="3" t="inlineStr">
        <ns0:is>
          <ns0:t>N2-FE-04 / relatórios</ns0:t>
        </ns0:is>
      </ns0:c>
      <ns0:c r="C42" s="3" t="inlineStr">
        <ns0:is>
          <ns0:t>Conectar resultados, estatísticas e download Excel</ns0:t>
        </ns0:is>
      </ns0:c>
      <ns0:c r="D42" s="3" t="inlineStr">
        <ns0:is>
          <ns0:t>Gabriel Koehler da Silva</ns0:t>
        </ns0:is>
      </ns0:c>
      <ns0:c r="E42" s="3" t="n">
        <ns0:v>4</ns0:v>
      </ns0:c>
      <ns0:c r="F42" s="4" t="n">
        <ns0:v>46322</ns0:v>
      </ns0:c>
      <ns0:c r="G42" s="4" t="n">
        <ns0:v>46322</ns0:v>
      </ns0:c>
      <ns0:c r="H42" s="3" t="inlineStr">
        <ns0:is>
          <ns0:t>G07, L09</ns0:t>
        </ns0:is>
      </ns0:c>
      <ns0:c r="I42" s="3" t="inlineStr">
        <ns0:is>
          <ns0:t>P1</ns0:t>
        </ns0:is>
      </ns0:c>
      <ns0:c r="J42" s="3" t="inlineStr">
        <ns0:is>
          <ns0:t>Planejada — validar com o grupo</ns0:t>
        </ns0:is>
      </ns0:c>
      <ns0:c r="K42" s="3" t="inlineStr">
        <ns0:is>
          <ns0:t>Filtros e estatísticas refletem banco; download XLSX oficial funciona</ns0:t>
        </ns0:is>
      </ns0:c>
      <ns0:c r="L42" s="3" t="inlineStr">
        <ns0:is>
          <ns0:t>RF41–RF48</ns0:t>
        </ns0:is>
      </ns0:c>
      <ns0:c r="M42" s="3" t="inlineStr">
        <ns0:is>
          <ns0:t>Frontend</ns0:t>
        </ns0:is>
      </ns0:c>
      <ns0:c r="N42" s="3" t="inlineStr">
        <ns0:is>
          <ns0:t>Conferir contagem por questão e alternativa original após embaralhar</ns0:t>
        </ns0:is>
      </ns0:c>
      <ns0:c r="O42" s="3" t="str">
        <ns0:f>IF(AND(COUNTIF($A$5:$A$49,"G07")=1,COUNTIF($A$5:$A$49,"L09")=1,F42&gt;MAX(SUMIF($A$5:$A$49,"G07",$G$5:$G$49),SUMIF($A$5:$A$49,"L09",$G$5:$G$49))),"OK","Rever IDs/datas")</ns0:f>
        <ns0:v>OK</ns0:v>
      </ns0:c>
    </ns0:row>
    <ns0:row r="43" ht="76" customHeight="1">
      <ns0:c r="A43" s="3" t="inlineStr">
        <ns0:is>
          <ns0:t>G09</ns0:t>
        </ns0:is>
      </ns0:c>
      <ns0:c r="B43" s="3" t="inlineStr">
        <ns0:is>
          <ns0:t>N1-FE / ajustes N2</ns0:t>
        </ns0:is>
      </ns0:c>
      <ns0:c r="C43" s="3" t="inlineStr">
        <ns0:is>
          <ns0:t>Revisar responsividade, erros e impressão final</ns0:t>
        </ns0:is>
      </ns0:c>
      <ns0:c r="D43" s="3" t="inlineStr">
        <ns0:is>
          <ns0:t>Gabriel Koehler da Silva</ns0:t>
        </ns0:is>
      </ns0:c>
      <ns0:c r="E43" s="3" t="n">
        <ns0:v>4</ns0:v>
      </ns0:c>
      <ns0:c r="F43" s="4" t="n">
        <ns0:v>46323</ns0:v>
      </ns0:c>
      <ns0:c r="G43" s="4" t="n">
        <ns0:v>46323</ns0:v>
      </ns0:c>
      <ns0:c r="H43" s="3" t="inlineStr">
        <ns0:is>
          <ns0:t>G08, G06</ns0:t>
        </ns0:is>
      </ns0:c>
      <ns0:c r="I43" s="3" t="inlineStr">
        <ns0:is>
          <ns0:t>P1</ns0:t>
        </ns0:is>
      </ns0:c>
      <ns0:c r="J43" s="3" t="inlineStr">
        <ns0:is>
          <ns0:t>Planejada — validar com o grupo</ns0:t>
        </ns0:is>
      </ns0:c>
      <ns0:c r="K43" s="3" t="inlineStr">
        <ns0:is>
          <ns0:t>Mobile/desktop/A4, estados vazios e navegação conferidos; visual coerente com Figma acessível</ns0:t>
        </ns0:is>
      </ns0:c>
      <ns0:c r="L43" s="3" t="inlineStr">
        <ns0:is>
          <ns0:t>RNF01–RNF03; RF26–RF28</ns0:t>
        </ns0:is>
      </ns0:c>
      <ns0:c r="M43" s="3" t="inlineStr">
        <ns0:is>
          <ns0:t>Frontend</ns0:t>
        </ns0:is>
      </ns0:c>
      <ns0:c r="N43" s="3" t="inlineStr">
        <ns0:is>
          <ns0:t>Acesso completo Figma pendente; miniatura de login já conferida</ns0:t>
        </ns0:is>
      </ns0:c>
      <ns0:c r="O43" s="3" t="str">
        <ns0:f>IF(AND(COUNTIF($A$5:$A$49,"G08")=1,COUNTIF($A$5:$A$49,"G06")=1,F43&gt;MAX(SUMIF($A$5:$A$49,"G08",$G$5:$G$49),SUMIF($A$5:$A$49,"G06",$G$5:$G$49))),"OK","Rever IDs/datas")</ns0:f>
        <ns0:v>OK</ns0:v>
      </ns0:c>
    </ns0:row>
    <ns0:row r="44" ht="76" customHeight="1">
      <ns0:c r="A44" s="3" t="inlineStr">
        <ns0:is>
          <ns0:t>D07</ns0:t>
        </ns0:is>
      </ns0:c>
      <ns0:c r="B44" s="3" t="inlineStr">
        <ns0:is>
          <ns0:t>N2-INF-03 / staging</ns0:t>
        </ns0:is>
      </ns0:c>
      <ns0:c r="C44" s="3" t="inlineStr">
        <ns0:is>
          <ns0:t>Homologar persistência real no ambiente hospedado</ns0:t>
        </ns0:is>
      </ns0:c>
      <ns0:c r="D44" s="3" t="inlineStr">
        <ns0:is>
          <ns0:t>Diego Rafael da Silva Dornelles</ns0:t>
        </ns0:is>
      </ns0:c>
      <ns0:c r="E44" s="3" t="n">
        <ns0:v>4</ns0:v>
      </ns0:c>
      <ns0:c r="F44" s="4" t="n">
        <ns0:v>46324</ns0:v>
      </ns0:c>
      <ns0:c r="G44" s="4" t="n">
        <ns0:v>46324</ns0:v>
      </ns0:c>
      <ns0:c r="H44" s="3" t="inlineStr">
        <ns0:is>
          <ns0:t>G09, L09, D06</ns0:t>
        </ns0:is>
      </ns0:c>
      <ns0:c r="I44" s="3" t="inlineStr">
        <ns0:is>
          <ns0:t>P0</ns0:t>
        </ns0:is>
      </ns0:c>
      <ns0:c r="J44" s="3" t="inlineStr">
        <ns0:is>
          <ns0:t>Planejada — validar com o grupo</ns0:t>
        </ns0:is>
      </ns0:c>
      <ns0:c r="K44" s="3" t="inlineStr">
        <ns0:is>
          <ns0:t>CRUD/avaliação/resultado persistem após reinício; nenhuma rota entregue depende de mock</ns0:t>
        </ns0:is>
      </ns0:c>
      <ns0:c r="L44" s="3" t="inlineStr">
        <ns0:is>
          <ns0:t>N2 C2; RF01–RF48</ns0:t>
        </ns0:is>
      </ns0:c>
      <ns0:c r="M44" s="3" t="inlineStr">
        <ns0:is>
          <ns0:t>Infraestrutura</ns0:t>
        </ns0:is>
      </ns0:c>
      <ns0:c r="N44" s="3" t="inlineStr">
        <ns0:is>
          <ns0:t>Não marcar pronto apenas por configurar variáveis Supabase</ns0:t>
        </ns0:is>
      </ns0:c>
      <ns0:c r="O44" s="3" t="str">
        <ns0:f>IF(AND(COUNTIF($A$5:$A$49,"G09")=1,COUNTIF($A$5:$A$49,"L09")=1,COUNTIF($A$5:$A$49,"D06")=1,F44&gt;MAX(SUMIF($A$5:$A$49,"G09",$G$5:$G$49),SUMIF($A$5:$A$49,"L09",$G$5:$G$49),SUMIF($A$5:$A$49,"D06",$G$5:$G$49))),"OK","Rever IDs/datas")</ns0:f>
        <ns0:v>OK</ns0:v>
      </ns0:c>
    </ns0:row>
    <ns0:row r="45" ht="76" customHeight="1">
      <ns0:c r="A45" s="3" t="inlineStr">
        <ns0:is>
          <ns0:t>E09</ns0:t>
        </ns0:is>
      </ns0:c>
      <ns0:c r="B45" s="3" t="inlineStr">
        <ns0:is>
          <ns0:t>N2-TEST / aceite</ns0:t>
        </ns0:is>
      </ns0:c>
      <ns0:c r="C45" s="3" t="inlineStr">
        <ns0:is>
          <ns0:t>Executar aceitação integrada de ponta a ponta</ns0:t>
        </ns0:is>
      </ns0:c>
      <ns0:c r="D45" s="3" t="inlineStr">
        <ns0:is>
          <ns0:t>Eloisa Fazzio da Silva Rocha</ns0:t>
        </ns0:is>
      </ns0:c>
      <ns0:c r="E45" s="3" t="n">
        <ns0:v>4</ns0:v>
      </ns0:c>
      <ns0:c r="F45" s="4" t="n">
        <ns0:v>46325</ns0:v>
      </ns0:c>
      <ns0:c r="G45" s="4" t="n">
        <ns0:v>46325</ns0:v>
      </ns0:c>
      <ns0:c r="H45" s="3" t="inlineStr">
        <ns0:is>
          <ns0:t>D07, E08, E07, G09</ns0:t>
        </ns0:is>
      </ns0:c>
      <ns0:c r="I45" s="3" t="inlineStr">
        <ns0:is>
          <ns0:t>P0</ns0:t>
        </ns0:is>
      </ns0:c>
      <ns0:c r="J45" s="3" t="inlineStr">
        <ns0:is>
          <ns0:t>Planejada — validar com o grupo</ns0:t>
        </ns0:is>
      </ns0:c>
      <ns0:c r="K45" s="3" t="inlineStr">
        <ns0:is>
          <ns0:t>Roteiro com evidências passa em HTTPS; falhas críticas resolvidas ou formalmente bloqueiam entrega</ns0:t>
        </ns0:is>
      </ns0:c>
      <ns0:c r="L45" s="3" t="inlineStr">
        <ns0:is>
          <ns0:t>N2 C1–C3</ns0:t>
        </ns0:is>
      </ns0:c>
      <ns0:c r="M45" s="3" t="inlineStr">
        <ns0:is>
          <ns0:t>Testes</ns0:t>
        </ns0:is>
      </ns0:c>
      <ns0:c r="N45" s="3" t="inlineStr">
        <ns0:is>
          <ns0:t>Resultado deve refletir execução real, sem copiar status de PR</ns0:t>
        </ns0:is>
      </ns0:c>
      <ns0:c r="O45" s="3" t="str">
        <ns0:f>IF(AND(COUNTIF($A$5:$A$49,"D07")=1,COUNTIF($A$5:$A$49,"E08")=1,COUNTIF($A$5:$A$49,"E07")=1,COUNTIF($A$5:$A$49,"G09")=1,F45&gt;MAX(SUMIF($A$5:$A$49,"D07",$G$5:$G$49),SUMIF($A$5:$A$49,"E08",$G$5:$G$49),SUMIF($A$5:$A$49,"E07",$G$5:$G$49),SUMIF($A$5:$A$49,"G09",$G$5:$G$49))),"OK","Rever IDs/datas")</ns0:f>
        <ns0:v>OK</ns0:v>
      </ns0:c>
    </ns0:row>
    <ns0:row r="46" ht="76" customHeight="1">
      <ns0:c r="A46" s="3" t="inlineStr">
        <ns0:is>
          <ns0:t>A07</ns0:t>
        </ns0:is>
      </ns0:c>
      <ns0:c r="B46" s="3" t="inlineStr">
        <ns0:is>
          <ns0:t>N2-DOC-02 / README v2</ns0:t>
        </ns0:is>
      </ns0:c>
      <ns0:c r="C46" s="3" t="inlineStr">
        <ns0:is>
          <ns0:t>Atualizar escopo, imagens e atendido/não atendido</ns0:t>
        </ns0:is>
      </ns0:c>
      <ns0:c r="D46" s="3" t="inlineStr">
        <ns0:is>
          <ns0:t>Alyson de Lima de Oliveira</ns0:t>
        </ns0:is>
      </ns0:c>
      <ns0:c r="E46" s="3" t="n">
        <ns0:v>5</ns0:v>
      </ns0:c>
      <ns0:c r="F46" s="4" t="n">
        <ns0:v>46329</ns0:v>
      </ns0:c>
      <ns0:c r="G46" s="4" t="n">
        <ns0:v>46330</ns0:v>
      </ns0:c>
      <ns0:c r="H46" s="3" t="inlineStr">
        <ns0:is>
          <ns0:t>E09, D07</ns0:t>
        </ns0:is>
      </ns0:c>
      <ns0:c r="I46" s="3" t="inlineStr">
        <ns0:is>
          <ns0:t>P1</ns0:t>
        </ns0:is>
      </ns0:c>
      <ns0:c r="J46" s="3" t="inlineStr">
        <ns0:is>
          <ns0:t>Planejada — validar com o grupo</ns0:t>
        </ns0:is>
      </ns0:c>
      <ns0:c r="K46" s="3" t="inlineStr">
        <ns0:is>
          <ns0:t>README v2 condiz com evidências, MER/DER/UML, link real e limitações remanescentes</ns0:t>
        </ns0:is>
      </ns0:c>
      <ns0:c r="L46" s="3" t="inlineStr">
        <ns0:is>
          <ns0:t>N2 C3</ns0:t>
        </ns0:is>
      </ns0:c>
      <ns0:c r="M46" s="3" t="inlineStr">
        <ns0:is>
          <ns0:t>Documentação</ns0:t>
        </ns0:is>
      </ns0:c>
      <ns0:c r="N46" s="3" t="inlineStr">
        <ns0:is>
          <ns0:t>Corrigir contagem 32 versus 36 cards e pendências antigas somente com evidência</ns0:t>
        </ns0:is>
      </ns0:c>
      <ns0:c r="O46" s="3" t="str">
        <ns0:f>IF(AND(COUNTIF($A$5:$A$49,"E09")=1,COUNTIF($A$5:$A$49,"D07")=1,F46&gt;MAX(SUMIF($A$5:$A$49,"E09",$G$5:$G$49),SUMIF($A$5:$A$49,"D07",$G$5:$G$49))),"OK","Rever IDs/datas")</ns0:f>
        <ns0:v>OK</ns0:v>
      </ns0:c>
    </ns0:row>
    <ns0:row r="47" ht="76" customHeight="1">
      <ns0:c r="A47" s="3" t="inlineStr">
        <ns0:is>
          <ns0:t>A08</ns0:t>
        </ns0:is>
      </ns0:c>
      <ns0:c r="B47" s="3" t="inlineStr">
        <ns0:is>
          <ns0:t>N2-DOC / relatório</ns0:t>
        </ns0:is>
      </ns0:c>
      <ns0:c r="C47" s="3" t="inlineStr">
        <ns0:is>
          <ns0:t>Consolidar evidências, diário e relatório final</ns0:t>
        </ns0:is>
      </ns0:c>
      <ns0:c r="D47" s="3" t="inlineStr">
        <ns0:is>
          <ns0:t>Alyson de Lima de Oliveira</ns0:t>
        </ns0:is>
      </ns0:c>
      <ns0:c r="E47" s="3" t="n">
        <ns0:v>4</ns0:v>
      </ns0:c>
      <ns0:c r="F47" s="4" t="n">
        <ns0:v>46331</ns0:v>
      </ns0:c>
      <ns0:c r="G47" s="4" t="n">
        <ns0:v>46331</ns0:v>
      </ns0:c>
      <ns0:c r="H47" s="3" t="inlineStr">
        <ns0:is>
          <ns0:t>A07, E09</ns0:t>
        </ns0:is>
      </ns0:c>
      <ns0:c r="I47" s="3" t="inlineStr">
        <ns0:is>
          <ns0:t>P1</ns0:t>
        </ns0:is>
      </ns0:c>
      <ns0:c r="J47" s="3" t="inlineStr">
        <ns0:is>
          <ns0:t>Planejada — validar com o grupo</ns0:t>
        </ns0:is>
      </ns0:c>
      <ns0:c r="K47" s="3" t="inlineStr">
        <ns0:is>
          <ns0:t>Relatórios datados e autores corretos; distingue código, revisão, deploy e homologação</ns0:t>
        </ns0:is>
      </ns0:c>
      <ns0:c r="L47" s="3" t="inlineStr">
        <ns0:is>
          <ns0:t>N2 C1–C3</ns0:t>
        </ns0:is>
      </ns0:c>
      <ns0:c r="M47" s="3" t="inlineStr">
        <ns0:is>
          <ns0:t>Documentação</ns0:t>
        </ns0:is>
      </ns0:c>
      <ns0:c r="N47" s="3" t="inlineStr">
        <ns0:is>
          <ns0:t>Preservar diário local de Diego e identificar contribuição assistida</ns0:t>
        </ns0:is>
      </ns0:c>
      <ns0:c r="O47" s="3" t="str">
        <ns0:f>IF(AND(COUNTIF($A$5:$A$49,"A07")=1,COUNTIF($A$5:$A$49,"E09")=1,F47&gt;MAX(SUMIF($A$5:$A$49,"A07",$G$5:$G$49),SUMIF($A$5:$A$49,"E09",$G$5:$G$49))),"OK","Rever IDs/datas")</ns0:f>
        <ns0:v>OK</ns0:v>
      </ns0:c>
    </ns0:row>
    <ns0:row r="48" ht="76" customHeight="1">
      <ns0:c r="A48" s="3" t="inlineStr">
        <ns0:is>
          <ns0:t>D08</ns0:t>
        </ns0:is>
      </ns0:c>
      <ns0:c r="B48" s="3" t="inlineStr">
        <ns0:is>
          <ns0:t>N1-INF-02 / N2-INF-04</ns0:t>
        </ns0:is>
      </ns0:c>
      <ns0:c r="C48" s="3" t="inlineStr">
        <ns0:is>
          <ns0:t>Gerar pacote final e auditar conteúdo/extração</ns0:t>
        </ns0:is>
      </ns0:c>
      <ns0:c r="D48" s="3" t="inlineStr">
        <ns0:is>
          <ns0:t>Diego Rafael da Silva Dornelles</ns0:t>
        </ns0:is>
      </ns0:c>
      <ns0:c r="E48" s="3" t="n">
        <ns0:v>4</ns0:v>
      </ns0:c>
      <ns0:c r="F48" s="4" t="n">
        <ns0:v>46332</ns0:v>
      </ns0:c>
      <ns0:c r="G48" s="4" t="n">
        <ns0:v>46332</ns0:v>
      </ns0:c>
      <ns0:c r="H48" s="3" t="inlineStr">
        <ns0:is>
          <ns0:t>A08, A07, E09</ns0:t>
        </ns0:is>
      </ns0:c>
      <ns0:c r="I48" s="3" t="inlineStr">
        <ns0:is>
          <ns0:t>P0</ns0:t>
        </ns0:is>
      </ns0:c>
      <ns0:c r="J48" s="3" t="inlineStr">
        <ns0:is>
          <ns0:t>Planejada — validar com o grupo</ns0:t>
        </ns0:is>
      </ns0:c>
      <ns0:c r="K48" s="3" t="inlineStr">
        <ns0:is>
          <ns0:t>ZIP sem segredos/caches; extração, UTF-8, integridade e execução limpa conferidas; PRs auditados</ns0:t>
        </ns0:is>
      </ns0:c>
      <ns0:c r="L48" s="3" t="inlineStr">
        <ns0:is>
          <ns0:t>N2 C1</ns0:t>
        </ns0:is>
      </ns0:c>
      <ns0:c r="M48" s="3" t="inlineStr">
        <ns0:is>
          <ns0:t>Infraestrutura</ns0:t>
        </ns0:is>
      </ns0:c>
      <ns0:c r="N48" s="3" t="inlineStr">
        <ns0:is>
          <ns0:t>Gravação no workspace teve corrupção anterior; verificar hashes e reabrir arquivos</ns0:t>
        </ns0:is>
      </ns0:c>
      <ns0:c r="O48" s="3" t="str">
        <ns0:f>IF(AND(COUNTIF($A$5:$A$49,"A08")=1,COUNTIF($A$5:$A$49,"A07")=1,COUNTIF($A$5:$A$49,"E09")=1,F48&gt;MAX(SUMIF($A$5:$A$49,"A08",$G$5:$G$49),SUMIF($A$5:$A$49,"A07",$G$5:$G$49),SUMIF($A$5:$A$49,"E09",$G$5:$G$49))),"OK","Rever IDs/datas")</ns0:f>
        <ns0:v>OK</ns0:v>
      </ns0:c>
    </ns0:row>
    <ns0:row r="49" ht="76" customHeight="1">
      <ns0:c r="A49" s="3" t="inlineStr">
        <ns0:is>
          <ns0:t>D09</ns0:t>
        </ns0:is>
      </ns0:c>
      <ns0:c r="B49" s="3" t="inlineStr">
        <ns0:is>
          <ns0:t>N2-INF-04 / fechamento</ns0:t>
        </ns0:is>
      </ns0:c>
      <ns0:c r="C49" s="3" t="inlineStr">
        <ns0:is>
          <ns0:t>Conferir entrega, HTTPS, URL e pacote final</ns0:t>
        </ns0:is>
      </ns0:c>
      <ns0:c r="D49" s="3" t="inlineStr">
        <ns0:is>
          <ns0:t>Diego Rafael da Silva Dornelles</ns0:t>
        </ns0:is>
      </ns0:c>
      <ns0:c r="E49" s="3" t="n">
        <ns0:v>3</ns0:v>
      </ns0:c>
      <ns0:c r="F49" s="4" t="n">
        <ns0:v>46339</ns0:v>
      </ns0:c>
      <ns0:c r="G49" s="4" t="n">
        <ns0:v>46339</ns0:v>
      </ns0:c>
      <ns0:c r="H49" s="3" t="inlineStr">
        <ns0:is>
          <ns0:t>D08</ns0:t>
        </ns0:is>
      </ns0:c>
      <ns0:c r="I49" s="3" t="inlineStr">
        <ns0:is>
          <ns0:t>P0</ns0:t>
        </ns0:is>
      </ns0:c>
      <ns0:c r="J49" s="3" t="inlineStr">
        <ns0:is>
          <ns0:t>Planejada — validar com o grupo</ns0:t>
        </ns0:is>
      </ns0:c>
      <ns0:c r="K49" s="3" t="inlineStr">
        <ns0:is>
          <ns0:t>Pacote homologado e documentação/URL conferidos; checklist assinado pelo grupo</ns0:t>
        </ns0:is>
      </ns0:c>
      <ns0:c r="L49" s="3" t="inlineStr">
        <ns0:is>
          <ns0:t>N2 C1–C3</ns0:t>
        </ns0:is>
      </ns0:c>
      <ns0:c r="M49" s="3" t="inlineStr">
        <ns0:is>
          <ns0:t>Entrega</ns0:t>
        </ns0:is>
      </ns0:c>
      <ns0:c r="N49" s="3" t="inlineStr">
        <ns0:is>
          <ns0:t>Publicação e entrega só quando autorizadas; preservar margem até prazo final</ns0:t>
        </ns0:is>
      </ns0:c>
      <ns0:c r="O49" s="3" t="str">
        <ns0:f>IF(AND(COUNTIF($A$5:$A$49,"D08")=1,F49&gt;MAX(SUMIF($A$5:$A$49,"D08",$G$5:$G$49))),"OK","Rever IDs/datas")</ns0:f>
        <ns0:v>OK</ns0:v>
      </ns0:c>
    </ns0:row>
  </ns0:sheetData>
  <ns0:mergeCells count="2">
    <ns0:mergeCell ref="A1:O1"/>
    <ns0:mergeCell ref="A2:O2"/>
  </ns0:mergeCells>
  <ns0:conditionalFormatting sqref="O5:O49">
    <ns0:cfRule type="cellIs" priority="1" operator="notEqual" dxfId="0">
      <ns0:formula>"OK"</ns0:formula>
    </ns0:cfRule>
  </ns0:conditionalFormatting>
  <ns0:dataValidations count="5">
    <ns0:dataValidation sqref="D5:D49" showDropDown="0" showInputMessage="0" showErrorMessage="1" allowBlank="0" errorTitle="Valor fora da lista" error="Escolha um valor da lista." type="list">
      <ns0:formula1>"Gabriel Koehler da Silva,Luan Eliseu,Alyson de Lima de Oliveira,Eloisa Fazzio da Silva Rocha,Diego Rafael da Silva Dornelles"</ns0:formula1>
    </ns0:dataValidation>
    <ns0:dataValidation sqref="I5:I49" showDropDown="0" showInputMessage="0" showErrorMessage="1" allowBlank="0" errorTitle="Valor fora da lista" error="Escolha um valor da lista." type="list">
      <ns0:formula1>"P0,P1,P2"</ns0:formula1>
    </ns0:dataValidation>
    <ns0:dataValidation sqref="J5:J49" showDropDown="0" showInputMessage="0" showErrorMessage="1" allowBlank="0" errorTitle="Valor fora da lista" error="Escolha um valor da lista." type="list">
      <ns0:formula1>"Planejada — validar com o grupo,Em andamento,Em revisão,Concluída com evidência,Bloqueada"</ns0:formula1>
    </ns0:dataValidation>
    <ns0:dataValidation sqref="E5:E49" showDropDown="0" showInputMessage="0" showErrorMessage="0" allowBlank="0" type="whole" operator="between">
      <ns0:formula1>1</ns0:formula1>
      <ns0:formula2>40</ns0:formula2>
    </ns0:dataValidation>
    <ns0:dataValidation sqref="F5:G49" showDropDown="0" showInputMessage="0" showErrorMessage="0" allowBlank="0" type="date" operator="between">
      <ns0:formula1>DATE(2026,10,5)</ns0:formula1>
      <ns0:formula2>DATE(2026,11,13)</ns0:formula2>
    </ns0:dataValidation>
  </ns0:dataValidations>
  <ns0:printOptions horizontalCentered="1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13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40" customWidth="1" min="1" max="1"/>
    <ns0:col width="13" customWidth="1" min="2" max="2"/>
    <ns0:col width="16" customWidth="1" min="3" max="3"/>
    <ns0:col width="16" customWidth="1" min="4" max="4"/>
    <ns0:col width="35" customWidth="1" min="5" max="5"/>
  </ns0:cols>
  <ns0:sheetData>
    <ns0:row r="1" ht="33" customHeight="1">
      <ns0:c r="A1" s="1" t="inlineStr">
        <ns0:is>
          <ns0:t>Distribuição equilibrada da N2</ns0:t>
        </ns0:is>
      </ns0:c>
    </ns0:row>
    <ns0:row r="4" ht="31" customHeight="1">
      <ns0:c r="A4" s="2" t="inlineStr">
        <ns0:is>
          <ns0:t>Integrante</ns0:t>
        </ns0:is>
      </ns0:c>
      <ns0:c r="B4" s="2" t="inlineStr">
        <ns0:is>
          <ns0:t>Tarefas</ns0:t>
        </ns0:is>
      </ns0:c>
      <ns0:c r="C4" s="2" t="inlineStr">
        <ns0:is>
          <ns0:t>Esforço (h)</ns0:t>
        </ns0:is>
      </ns0:c>
      <ns0:c r="D4" s="2" t="inlineStr">
        <ns0:is>
          <ns0:t>Participação</ns0:t>
        </ns0:is>
      </ns0:c>
      <ns0:c r="E4" s="2" t="inlineStr">
        <ns0:is>
          <ns0:t>Área principal</ns0:t>
        </ns0:is>
      </ns0:c>
    </ns0:row>
    <ns0:row r="5">
      <ns0:c r="A5" s="3" t="inlineStr">
        <ns0:is>
          <ns0:t>Gabriel Koehler da Silva</ns0:t>
        </ns0:is>
      </ns0:c>
      <ns0:c r="B5" s="3">
        <ns0:f>COUNTIF('Backlog N2'!D5:D49,A5)</ns0:f>
        <ns0:v>9</ns0:v>
      </ns0:c>
      <ns0:c r="C5" s="3">
        <ns0:f>SUMIF('Backlog N2'!D5:D49,A5,'Backlog N2'!E5:E49)</ns0:f>
        <ns0:v>38</ns0:v>
      </ns0:c>
      <ns0:c r="D5" s="5">
        <ns0:f>C5/SUM($C$5:$C$9)</ns0:f>
        <ns0:v>0.20652173913043478</ns0:v>
      </ns0:c>
      <ns0:c r="E5" s="3" t="inlineStr">
        <ns0:is>
          <ns0:t>Frontend</ns0:t>
        </ns0:is>
      </ns0:c>
    </ns0:row>
    <ns0:row r="6">
      <ns0:c r="A6" s="3" t="inlineStr">
        <ns0:is>
          <ns0:t>Luan Eliseu</ns0:t>
        </ns0:is>
      </ns0:c>
      <ns0:c r="B6" s="3">
        <ns0:f>COUNTIF('Backlog N2'!D5:D49,A6)</ns0:f>
        <ns0:v>9</ns0:v>
      </ns0:c>
      <ns0:c r="C6" s="3">
        <ns0:f>SUMIF('Backlog N2'!D5:D49,A6,'Backlog N2'!E5:E49)</ns0:f>
        <ns0:v>38</ns0:v>
      </ns0:c>
      <ns0:c r="D6" s="5">
        <ns0:f>C6/SUM($C$5:$C$9)</ns0:f>
        <ns0:v>0.20652173913043478</ns0:v>
      </ns0:c>
      <ns0:c r="E6" s="3" t="inlineStr">
        <ns0:is>
          <ns0:t>Backend</ns0:t>
        </ns0:is>
      </ns0:c>
    </ns0:row>
    <ns0:row r="7">
      <ns0:c r="A7" s="3" t="inlineStr">
        <ns0:is>
          <ns0:t>Alyson de Lima de Oliveira</ns0:t>
        </ns0:is>
      </ns0:c>
      <ns0:c r="B7" s="3">
        <ns0:f>COUNTIF('Backlog N2'!D5:D49,A7)</ns0:f>
        <ns0:v>9</ns0:v>
      </ns0:c>
      <ns0:c r="C7" s="3">
        <ns0:f>SUMIF('Backlog N2'!D5:D49,A7,'Backlog N2'!E5:E49)</ns0:f>
        <ns0:v>36</ns0:v>
      </ns0:c>
      <ns0:c r="D7" s="5">
        <ns0:f>C7/SUM($C$5:$C$9)</ns0:f>
        <ns0:v>0.1956521739130435</ns0:v>
      </ns0:c>
      <ns0:c r="E7" s="3" t="inlineStr">
        <ns0:is>
          <ns0:t>Documentação / arquitetura</ns0:t>
        </ns0:is>
      </ns0:c>
    </ns0:row>
    <ns0:row r="8">
      <ns0:c r="A8" s="3" t="inlineStr">
        <ns0:is>
          <ns0:t>Eloisa Fazzio da Silva Rocha</ns0:t>
        </ns0:is>
      </ns0:c>
      <ns0:c r="B8" s="3">
        <ns0:f>COUNTIF('Backlog N2'!D5:D49,A8)</ns0:f>
        <ns0:v>9</ns0:v>
      </ns0:c>
      <ns0:c r="C8" s="3">
        <ns0:f>SUMIF('Backlog N2'!D5:D49,A8,'Backlog N2'!E5:E49)</ns0:f>
        <ns0:v>36</ns0:v>
      </ns0:c>
      <ns0:c r="D8" s="5">
        <ns0:f>C8/SUM($C$5:$C$9)</ns0:f>
        <ns0:v>0.1956521739130435</ns0:v>
      </ns0:c>
      <ns0:c r="E8" s="3" t="inlineStr">
        <ns0:is>
          <ns0:t>Requisitos / testes</ns0:t>
        </ns0:is>
      </ns0:c>
    </ns0:row>
    <ns0:row r="9">
      <ns0:c r="A9" s="3" t="inlineStr">
        <ns0:is>
          <ns0:t>Diego Rafael da Silva Dornelles</ns0:t>
        </ns0:is>
      </ns0:c>
      <ns0:c r="B9" s="3">
        <ns0:f>COUNTIF('Backlog N2'!D5:D49,A9)</ns0:f>
        <ns0:v>9</ns0:v>
      </ns0:c>
      <ns0:c r="C9" s="3">
        <ns0:f>SUMIF('Backlog N2'!D5:D49,A9,'Backlog N2'!E5:E49)</ns0:f>
        <ns0:v>36</ns0:v>
      </ns0:c>
      <ns0:c r="D9" s="5">
        <ns0:f>C9/SUM($C$5:$C$9)</ns0:f>
        <ns0:v>0.1956521739130435</ns0:v>
      </ns0:c>
      <ns0:c r="E9" s="3" t="inlineStr">
        <ns0:is>
          <ns0:t>Infraestrutura / modelagem</ns0:t>
        </ns0:is>
      </ns0:c>
    </ns0:row>
    <ns0:row r="10">
      <ns0:c r="A10" s="3" t="n"/>
      <ns0:c r="B10" s="3" t="n"/>
      <ns0:c r="C10" s="3" t="n"/>
      <ns0:c r="D10" s="3" t="n"/>
      <ns0:c r="E10" s="3" t="n"/>
    </ns0:row>
    <ns0:row r="11">
      <ns0:c r="A11" s="3" t="inlineStr">
        <ns0:is>
          <ns0:t>Total</ns0:t>
        </ns0:is>
      </ns0:c>
      <ns0:c r="B11" s="3">
        <ns0:f>SUM(B5:B9)</ns0:f>
        <ns0:v>45</ns0:v>
      </ns0:c>
      <ns0:c r="C11" s="3">
        <ns0:f>SUM(C5:C9)</ns0:f>
        <ns0:v>184</ns0:v>
      </ns0:c>
      <ns0:c r="D11" s="3" t="n"/>
      <ns0:c r="E11" s="3" t="n"/>
    </ns0:row>
    <ns0:row r="12">
      <ns0:c r="A12" s="3" t="n"/>
      <ns0:c r="B12" s="3" t="n"/>
      <ns0:c r="C12" s="3" t="n"/>
      <ns0:c r="D12" s="3" t="n"/>
      <ns0:c r="E12" s="3" t="n"/>
    </ns0:row>
    <ns0:row r="13">
      <ns0:c r="A13" s="3" t="inlineStr">
        <ns0:is>
          <ns0:t>Cada integrante tem 9 tarefas. Esforço entre 36 e 38 horas; equilíbrio avaliado por horas e especialidade.</ns0:t>
        </ns0:is>
      </ns0:c>
      <ns0:c r="B13" s="3" t="n"/>
      <ns0:c r="C13" s="3" t="n"/>
      <ns0:c r="D13" s="3" t="n"/>
      <ns0:c r="E13" s="3" t="n"/>
    </ns0:row>
  </ns0:sheetData>
  <ns0:mergeCells count="2">
    <ns0:mergeCell ref="A1:E1"/>
    <ns0:mergeCell ref="A13:E13"/>
  </ns0:mergeCells>
  <ns0:pageMargins left="0.75" right="0.75" top="1" bottom="1" header="0.5" footer="0.5"/>
  <ns0:pageSetup orientation="landscape" paperSize="8" fitToHeight="0" fitToWidth="1"/>
  <ns0:drawing ns1:id="rId1"/>
  <ns0:tableParts count="1">
    <ns0:tablePart ns1:id="rId2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H14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40" customWidth="1" min="1" max="1"/>
    <ns0:col width="17" customWidth="1" min="2" max="2"/>
    <ns0:col width="17" customWidth="1" min="3" max="3"/>
    <ns0:col width="17" customWidth="1" min="4" max="4"/>
    <ns0:col width="17" customWidth="1" min="5" max="5"/>
    <ns0:col width="17" customWidth="1" min="6" max="6"/>
    <ns0:col width="17" customWidth="1" min="7" max="7"/>
    <ns0:col width="17" customWidth="1" min="8" max="8"/>
  </ns0:cols>
  <ns0:sheetData>
    <ns0:row r="1" ht="33" customHeight="1">
      <ns0:c r="A1" s="1" t="inlineStr">
        <ns0:is>
          <ns0:t>Cronograma semanal — horas alocadas</ns0:t>
        </ns0:is>
      </ns0:c>
    </ns0:row>
    <ns0:row r="3">
      <ns0:c r="B3" s="6" t="n">
        <ns0:v>46300</ns0:v>
      </ns0:c>
      <ns0:c r="C3" s="6" t="n">
        <ns0:v>46307</ns0:v>
      </ns0:c>
      <ns0:c r="D3" s="6" t="n">
        <ns0:v>46314</ns0:v>
      </ns0:c>
      <ns0:c r="E3" s="6" t="n">
        <ns0:v>46321</ns0:v>
      </ns0:c>
      <ns0:c r="F3" s="6" t="n">
        <ns0:v>46328</ns0:v>
      </ns0:c>
      <ns0:c r="G3" s="6" t="n">
        <ns0:v>46335</ns0:v>
      </ns0:c>
    </ns0:row>
    <ns0:row r="4" ht="31" customHeight="1">
      <ns0:c r="A4" s="2" t="inlineStr">
        <ns0:is>
          <ns0:t>Integrante</ns0:t>
        </ns0:is>
      </ns0:c>
      <ns0:c r="B4" s="2" t="inlineStr">
        <ns0:is>
          <ns0:t>Semana 1</ns0:t>
        </ns0:is>
      </ns0:c>
      <ns0:c r="C4" s="2" t="inlineStr">
        <ns0:is>
          <ns0:t>Semana 2</ns0:t>
        </ns0:is>
      </ns0:c>
      <ns0:c r="D4" s="2" t="inlineStr">
        <ns0:is>
          <ns0:t>Semana 3</ns0:t>
        </ns0:is>
      </ns0:c>
      <ns0:c r="E4" s="2" t="inlineStr">
        <ns0:is>
          <ns0:t>Semana 4</ns0:t>
        </ns0:is>
      </ns0:c>
      <ns0:c r="F4" s="2" t="inlineStr">
        <ns0:is>
          <ns0:t>Semana 5</ns0:t>
        </ns0:is>
      </ns0:c>
      <ns0:c r="G4" s="2" t="inlineStr">
        <ns0:is>
          <ns0:t>Semana 6</ns0:t>
        </ns0:is>
      </ns0:c>
      <ns0:c r="H4" s="2" t="inlineStr">
        <ns0:is>
          <ns0:t>Total</ns0:t>
        </ns0:is>
      </ns0:c>
    </ns0:row>
    <ns0:row r="5">
      <ns0:c r="A5" s="3" t="inlineStr">
        <ns0:is>
          <ns0:t>Gabriel Koehler da Silva</ns0:t>
        </ns0:is>
      </ns0:c>
      <ns0:c r="B5" s="3" t="n">
        <ns0:v>4</ns0:v>
      </ns0:c>
      <ns0:c r="C5" s="3" t="n">
        <ns0:v>8</ns0:v>
      </ns0:c>
      <ns0:c r="D5" s="3" t="n">
        <ns0:v>14</ns0:v>
      </ns0:c>
      <ns0:c r="E5" s="3" t="n">
        <ns0:v>12</ns0:v>
      </ns0:c>
      <ns0:c r="F5" s="3" t="n">
        <ns0:v>0</ns0:v>
      </ns0:c>
      <ns0:c r="G5" s="3" t="n">
        <ns0:v>0</ns0:v>
      </ns0:c>
      <ns0:c r="H5" s="3">
        <ns0:f>SUM(B5:G5)</ns0:f>
        <ns0:v>38</ns0:v>
      </ns0:c>
    </ns0:row>
    <ns0:row r="6">
      <ns0:c r="A6" s="3" t="inlineStr">
        <ns0:is>
          <ns0:t>Luan Eliseu</ns0:t>
        </ns0:is>
      </ns0:c>
      <ns0:c r="B6" s="3" t="n">
        <ns0:v>3</ns0:v>
      </ns0:c>
      <ns0:c r="C6" s="3" t="n">
        <ns0:v>16</ns0:v>
      </ns0:c>
      <ns0:c r="D6" s="3" t="n">
        <ns0:v>16</ns0:v>
      </ns0:c>
      <ns0:c r="E6" s="3" t="n">
        <ns0:v>3</ns0:v>
      </ns0:c>
      <ns0:c r="F6" s="3" t="n">
        <ns0:v>0</ns0:v>
      </ns0:c>
      <ns0:c r="G6" s="3" t="n">
        <ns0:v>0</ns0:v>
      </ns0:c>
      <ns0:c r="H6" s="3">
        <ns0:f>SUM(B6:G6)</ns0:f>
        <ns0:v>38</ns0:v>
      </ns0:c>
    </ns0:row>
    <ns0:row r="7">
      <ns0:c r="A7" s="3" t="inlineStr">
        <ns0:is>
          <ns0:t>Alyson de Lima de Oliveira</ns0:t>
        </ns0:is>
      </ns0:c>
      <ns0:c r="B7" s="3" t="n">
        <ns0:v>18</ns0:v>
      </ns0:c>
      <ns0:c r="C7" s="3" t="n">
        <ns0:v>9</ns0:v>
      </ns0:c>
      <ns0:c r="D7" s="3" t="n">
        <ns0:v>0</ns0:v>
      </ns0:c>
      <ns0:c r="E7" s="3" t="n">
        <ns0:v>0</ns0:v>
      </ns0:c>
      <ns0:c r="F7" s="3" t="n">
        <ns0:v>9</ns0:v>
      </ns0:c>
      <ns0:c r="G7" s="3" t="n">
        <ns0:v>0</ns0:v>
      </ns0:c>
      <ns0:c r="H7" s="3">
        <ns0:f>SUM(B7:G7)</ns0:f>
        <ns0:v>36</ns0:v>
      </ns0:c>
    </ns0:row>
    <ns0:row r="8">
      <ns0:c r="A8" s="3" t="inlineStr">
        <ns0:is>
          <ns0:t>Eloisa Fazzio da Silva Rocha</ns0:t>
        </ns0:is>
      </ns0:c>
      <ns0:c r="B8" s="3" t="n">
        <ns0:v>12</ns0:v>
      </ns0:c>
      <ns0:c r="C8" s="3" t="n">
        <ns0:v>8</ns0:v>
      </ns0:c>
      <ns0:c r="D8" s="3" t="n">
        <ns0:v>4</ns0:v>
      </ns0:c>
      <ns0:c r="E8" s="3" t="n">
        <ns0:v>12</ns0:v>
      </ns0:c>
      <ns0:c r="F8" s="3" t="n">
        <ns0:v>0</ns0:v>
      </ns0:c>
      <ns0:c r="G8" s="3" t="n">
        <ns0:v>0</ns0:v>
      </ns0:c>
      <ns0:c r="H8" s="3">
        <ns0:f>SUM(B8:G8)</ns0:f>
        <ns0:v>36</ns0:v>
      </ns0:c>
    </ns0:row>
    <ns0:row r="9">
      <ns0:c r="A9" s="3" t="inlineStr">
        <ns0:is>
          <ns0:t>Diego Rafael da Silva Dornelles</ns0:t>
        </ns0:is>
      </ns0:c>
      <ns0:c r="B9" s="3" t="n">
        <ns0:v>13</ns0:v>
      </ns0:c>
      <ns0:c r="C9" s="3" t="n">
        <ns0:v>8</ns0:v>
      </ns0:c>
      <ns0:c r="D9" s="3" t="n">
        <ns0:v>4</ns0:v>
      </ns0:c>
      <ns0:c r="E9" s="3" t="n">
        <ns0:v>4</ns0:v>
      </ns0:c>
      <ns0:c r="F9" s="3" t="n">
        <ns0:v>4</ns0:v>
      </ns0:c>
      <ns0:c r="G9" s="3" t="n">
        <ns0:v>3</ns0:v>
      </ns0:c>
      <ns0:c r="H9" s="3">
        <ns0:f>SUM(B9:G9)</ns0:f>
        <ns0:v>36</ns0:v>
      </ns0:c>
    </ns0:row>
    <ns0:row r="10">
      <ns0:c r="A10" s="3" t="n"/>
      <ns0:c r="B10" s="3" t="n"/>
      <ns0:c r="C10" s="3" t="n"/>
      <ns0:c r="D10" s="3" t="n"/>
      <ns0:c r="E10" s="3" t="n"/>
      <ns0:c r="F10" s="3" t="n"/>
      <ns0:c r="G10" s="3" t="n"/>
      <ns0:c r="H10" s="3" t="n"/>
    </ns0:row>
    <ns0:row r="11">
      <ns0:c r="A11" s="3" t="n"/>
      <ns0:c r="B11" s="3" t="n"/>
      <ns0:c r="C11" s="3" t="n"/>
      <ns0:c r="D11" s="3" t="n"/>
      <ns0:c r="E11" s="3" t="n"/>
      <ns0:c r="F11" s="3" t="n"/>
      <ns0:c r="G11" s="3" t="n"/>
      <ns0:c r="H11" s="3" t="n"/>
    </ns0:row>
    <ns0:row r="12">
      <ns0:c r="A12" s="3" t="inlineStr">
        <ns0:is>
          <ns0:t>Alocação validada: no máximo 4 h/dia por pessoa; feriados 12/10 e 02/11 excluídos. Rever esta fotografia ao editar o backlog.</ns0:t>
        </ns0:is>
      </ns0:c>
      <ns0:c r="B12" s="3" t="n"/>
      <ns0:c r="C12" s="3" t="n"/>
      <ns0:c r="D12" s="3" t="n"/>
      <ns0:c r="E12" s="3" t="n"/>
      <ns0:c r="F12" s="3" t="n"/>
      <ns0:c r="G12" s="3" t="n"/>
      <ns0:c r="H12" s="3" t="n"/>
    </ns0:row>
    <ns0:row r="13">
      <ns0:c r="A13" s="3" t="n"/>
      <ns0:c r="B13" s="3" t="n"/>
      <ns0:c r="C13" s="3" t="n"/>
      <ns0:c r="D13" s="3" t="n"/>
      <ns0:c r="E13" s="3" t="n"/>
      <ns0:c r="F13" s="3" t="n"/>
      <ns0:c r="G13" s="3" t="n"/>
      <ns0:c r="H13" s="3" t="n"/>
    </ns0:row>
    <ns0:row r="14">
      <ns0:c r="A14" s="3" t="inlineStr">
        <ns0:is>
          <ns0:t>Marcos: diagramas revisados na primeira fase; integração antes do aceite; D09 reservado para 13/11/2026.</ns0:t>
        </ns0:is>
      </ns0:c>
      <ns0:c r="B14" s="3" t="n"/>
      <ns0:c r="C14" s="3" t="n"/>
      <ns0:c r="D14" s="3" t="n"/>
      <ns0:c r="E14" s="3" t="n"/>
      <ns0:c r="F14" s="3" t="n"/>
      <ns0:c r="G14" s="3" t="n"/>
      <ns0:c r="H14" s="3" t="n"/>
    </ns0:row>
  </ns0:sheetData>
  <ns0:mergeCells count="3">
    <ns0:mergeCell ref="A12:H12"/>
    <ns0:mergeCell ref="A14:H14"/>
    <ns0:mergeCell ref="A1:H1"/>
  </ns0:mergeCells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9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24" customWidth="1" min="1" max="1"/>
    <ns0:col width="55" customWidth="1" min="2" max="2"/>
    <ns0:col width="39" customWidth="1" min="3" max="3"/>
    <ns0:col width="36" customWidth="1" min="4" max="4"/>
    <ns0:col width="38" customWidth="1" min="5" max="5"/>
  </ns0:cols>
  <ns0:sheetData>
    <ns0:row r="1" ht="33" customHeight="1">
      <ns0:c r="A1" s="1" t="inlineStr">
        <ns0:is>
          <ns0:t>Diagramas e requisitos rastreados</ns0:t>
        </ns0:is>
      </ns0:c>
    </ns0:row>
    <ns0:row r="4" ht="31" customHeight="1">
      <ns0:c r="A4" s="2" t="inlineStr">
        <ns0:is>
          <ns0:t>Artefato</ns0:t>
        </ns0:is>
      </ns0:c>
      <ns0:c r="B4" s="2" t="inlineStr">
        <ns0:is>
          <ns0:t>Cenário / requisitos</ns0:t>
        </ns0:is>
      </ns0:c>
      <ns0:c r="C4" s="2" t="inlineStr">
        <ns0:is>
          <ns0:t>Responsável pela revisão</ns0:t>
        </ns0:is>
      </ns0:c>
      <ns0:c r="D4" s="2" t="inlineStr">
        <ns0:is>
          <ns0:t>Tarefas relacionadas</ns0:t>
        </ns0:is>
      </ns0:c>
      <ns0:c r="E4" s="2" t="inlineStr">
        <ns0:is>
          <ns0:t>Arquivo</ns0:t>
        </ns0:is>
      </ns0:c>
    </ns0:row>
    <ns0:row r="5" ht="54" customHeight="1">
      <ns0:c r="A5" s="3" t="inlineStr">
        <ns0:is>
          <ns0:t>Caso de uso</ns0:t>
        </ns0:is>
      </ns0:c>
      <ns0:c r="B5" s="3" t="inlineStr">
        <ns0:is>
          <ns0:t>UC01–UC14; RF01–RF48; aluno sem conta</ns0:t>
        </ns0:is>
      </ns0:c>
      <ns0:c r="C5" s="3" t="inlineStr">
        <ns0:is>
          <ns0:t>Alyson de Lima de Oliveira</ns0:t>
        </ns0:is>
      </ns0:c>
      <ns0:c r="D5" s="3" t="inlineStr">
        <ns0:is>
          <ns0:t>A02, A04</ns0:t>
        </ns0:is>
      </ns0:c>
      <ns0:c r="E5" s="7" t="inlineStr">
        <ns0:is>
          <ns0:t>../01-caso-de-uso.md</ns0:t>
        </ns0:is>
      </ns0:c>
    </ns0:row>
    <ns0:row r="6" ht="54" customHeight="1">
      <ns0:c r="A6" s="3" t="inlineStr">
        <ns0:is>
          <ns0:t>Atividade</ns0:t>
        </ns0:is>
      </ns0:c>
      <ns0:c r="B6" s="3" t="inlineStr">
        <ns0:is>
          <ns0:t>UC09; RF31–RF40; erros e persistência</ns0:t>
        </ns0:is>
      </ns0:c>
      <ns0:c r="C6" s="3" t="inlineStr">
        <ns0:is>
          <ns0:t>Eloisa Fazzio da Silva Rocha</ns0:t>
        </ns0:is>
      </ns0:c>
      <ns0:c r="D6" s="3" t="inlineStr">
        <ns0:is>
          <ns0:t>E02, E08</ns0:t>
        </ns0:is>
      </ns0:c>
      <ns0:c r="E6" s="7" t="inlineStr">
        <ns0:is>
          <ns0:t>../02-atividade.md</ns0:t>
        </ns0:is>
      </ns0:c>
    </ns0:row>
    <ns0:row r="7" ht="54" customHeight="1">
      <ns0:c r="A7" s="3" t="inlineStr">
        <ns0:is>
          <ns0:t>Classe</ns0:t>
        </ns0:is>
      </ns0:c>
      <ns0:c r="B7" s="3" t="inlineStr">
        <ns0:is>
          <ns0:t>Snapshots RN14; entidades e cardinalidades</ns0:t>
        </ns0:is>
      </ns0:c>
      <ns0:c r="C7" s="3" t="inlineStr">
        <ns0:is>
          <ns0:t>Diego Rafael da Silva Dornelles</ns0:t>
        </ns0:is>
      </ns0:c>
      <ns0:c r="D7" s="3" t="inlineStr">
        <ns0:is>
          <ns0:t>D02, D03, E03, E04</ns0:t>
        </ns0:is>
      </ns0:c>
      <ns0:c r="E7" s="7" t="inlineStr">
        <ns0:is>
          <ns0:t>../03-classe.md</ns0:t>
        </ns0:is>
      </ns0:c>
    </ns0:row>
    <ns0:row r="8" ht="54" customHeight="1">
      <ns0:c r="A8" s="3" t="inlineStr">
        <ns0:is>
          <ns0:t>Sequência</ns0:t>
        </ns0:is>
      </ns0:c>
      <ns0:c r="B8" s="3" t="inlineStr">
        <ns0:is>
          <ns0:t>UC09; mensagens, autorização, SQL e Storage</ns0:t>
        </ns0:is>
      </ns0:c>
      <ns0:c r="C8" s="3" t="inlineStr">
        <ns0:is>
          <ns0:t>Alyson de Lima de Oliveira</ns0:t>
        </ns0:is>
      </ns0:c>
      <ns0:c r="D8" s="3" t="inlineStr">
        <ns0:is>
          <ns0:t>A03, L07, L08, E08</ns0:t>
        </ns0:is>
      </ns0:c>
      <ns0:c r="E8" s="7" t="inlineStr">
        <ns0:is>
          <ns0:t>../04-sequencia.md</ns0:t>
        </ns0:is>
      </ns0:c>
    </ns0:row>
    <ns0:row r="9" ht="54" customHeight="1">
      <ns0:c r="A9" s="3" t="inlineStr">
        <ns0:is>
          <ns0:t>Ajustes N1</ns0:t>
        </ns0:is>
      </ns0:c>
      <ns0:c r="B9" s="3" t="inlineStr">
        <ns0:is>
          <ns0:t>QR intermitente, ambiente, Figma, impressão, docs</ns0:t>
        </ns0:is>
      </ns0:c>
      <ns0:c r="C9" s="3" t="inlineStr">
        <ns0:is>
          <ns0:t>Gabriel Koehler da Silva</ns0:t>
        </ns0:is>
      </ns0:c>
      <ns0:c r="D9" s="3" t="inlineStr">
        <ns0:is>
          <ns0:t>D01, G06, G09, E07, A06</ns0:t>
        </ns0:is>
      </ns0:c>
      <ns0:c r="E9" s="7" t="inlineStr">
        <ns0:is>
          <ns0:t>../../infra/VALIDACAO_LOCAL.md</ns0:t>
        </ns0:is>
      </ns0:c>
    </ns0:row>
  </ns0:sheetData>
  <ns0:mergeCells count="1">
    <ns0:mergeCell ref="A1:E1"/>
  </ns0:mergeCells>
  <ns0:hyperlinks>
    <ns0:hyperlink ref="E5" ns1:id="rId1"/>
    <ns0:hyperlink ref="E6" ns1:id="rId2"/>
    <ns0:hyperlink ref="E7" ns1:id="rId3"/>
    <ns0:hyperlink ref="E8" ns1:id="rId4"/>
    <ns0:hyperlink ref="E9" ns1:id="rId5"/>
  </ns0:hyperlinks>
  <ns0:pageMargins left="0.75" right="0.75" top="1" bottom="1" header="0.5" footer="0.5"/>
  <ns0:pageSetup orientation="landscape" paperSize="8" fitToHeight="0" fitToWidth="1"/>
  <ns0:tableParts count="1">
    <ns0:tablePart ns1:id="rId6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Equipe projetosgp — preparação assistida</dc:creator>
  <dc:title xmlns:dc="http://purl.org/dc/elements/1.1/">Planejamento do backlog N2</dc:title>
  <dcterms:created xmlns:dcterms="http://purl.org/dc/terms/" xmlns:xsi="http://www.w3.org/2001/XMLSchema-instance" xsi:type="dcterms:W3CDTF">2026-10-05T15:35:29Z</dcterms:created>
  <dcterms:modified xmlns:dcterms="http://purl.org/dc/terms/" xmlns:xsi="http://www.w3.org/2001/XMLSchema-instance" xsi:type="dcterms:W3CDTF">2026-10-05T15:35:29Z</dcterms:modified>
</cp:coreProperties>
</file>